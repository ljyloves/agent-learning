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133b240e7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ea3bcfa47364529"/>
    <x:sheet xmlns:r="http://schemas.openxmlformats.org/officeDocument/2006/relationships" name="项目排期" sheetId="2" r:id="R03f95043fbcb474d"/>
    <x:sheet xmlns:r="http://schemas.openxmlformats.org/officeDocument/2006/relationships" name="理论拆解" sheetId="3" r:id="R5eac72d2655e4e01"/>
    <x:sheet xmlns:r="http://schemas.openxmlformats.org/officeDocument/2006/relationships" name="验收与评测" sheetId="4" r:id="R851d4d9d93414575"/>
    <x:sheet xmlns:r="http://schemas.openxmlformats.org/officeDocument/2006/relationships" name="评分与风险" sheetId="5" r:id="R9de74fb50fb6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%"/>
    <x:numFmt numFmtId="202" formatCode="0.0"/>
    <x:numFmt numFmtId="203" formatCode="0.00"/>
  </x:numFmts>
  <x:fonts count="2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  <x:font>
      <x:b/>
      <x:sz val="11"/>
      <x:color rgb="FF17365D"/>
      <x:name val="Carlito"/>
    </x:font>
    <x:font>
      <x:b/>
      <x:sz val="20"/>
      <x:color rgb="FF17365D"/>
      <x:name val="Carlito"/>
    </x:font>
    <x:font>
      <x:b/>
      <x:sz val="11"/>
      <x:color rgb="FF166534"/>
      <x:name val="Carlito"/>
    </x:font>
    <x:font>
      <x:b/>
      <x:sz val="11"/>
      <x:color rgb="FFBF7200"/>
      <x:name val="Carlito"/>
    </x:font>
    <x:font>
      <x:sz val="11"/>
      <x:color rgb="FF5B6573"/>
      <x:name val="Carlito"/>
    </x:font>
    <x:font>
      <x:b/>
      <x:sz val="12"/>
      <x:color rgb="FF17365D"/>
      <x:name val="Carlito"/>
    </x:font>
    <x:font>
      <x:b/>
      <x:sz val="16"/>
      <x:color rgb="FFFFFFFF"/>
      <x:name val="Carlito"/>
    </x:font>
    <x:font>
      <x:b/>
      <x:sz val="10"/>
      <x:color rgb="FF243447"/>
      <x:name val="Microsoft YaHei"/>
    </x:font>
    <x:font>
      <x:i/>
      <x:sz val="10"/>
      <x:color rgb="FF243447"/>
      <x:name val="Microsoft YaHei"/>
    </x:font>
    <x:font>
      <x:sz val="10"/>
      <x:color rgb="FF243447"/>
      <x:name val="Microsoft YaHei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6"/>
      <x:color rgb="FFFFFFFF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D7D3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4F7"/>
      </x:patternFill>
    </x:fill>
    <x:fill>
      <x:patternFill patternType="solid">
        <x:fgColor rgb="FF8064A2"/>
      </x:patternFill>
    </x:fill>
  </x:fills>
  <x:borders count="12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0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9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9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/>
    <x:xf numFmtId="201" fontId="8" fillId="7" borderId="0" xfId="0" applyNumberFormat="1" applyFont="1" applyFill="1" applyBorder="1"/>
    <x:xf numFmtId="201" fontId="8" fillId="7" borderId="4" xfId="0" applyNumberFormat="1" applyFont="1" applyFill="1" applyBorder="1"/>
    <x:xf numFmtId="201" fontId="8" fillId="7" borderId="4" xfId="0" applyNumberFormat="1" applyFont="1" applyFill="1" applyBorder="1" applyAlignment="1">
      <x:alignment horizontal="center"/>
    </x:xf>
    <x:xf numFmtId="201" fontId="8" fillId="7" borderId="4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right"/>
    </x:xf>
    <x:xf numFmtId="0" fontId="13" fillId="2" borderId="0" xfId="0" applyNumberFormat="1" applyFont="1" applyFill="1" applyBorder="1"/>
    <x:xf numFmtId="203" fontId="13" fillId="2" borderId="0" xfId="0" applyNumberFormat="1" applyFont="1" applyFill="1" applyBorder="1"/>
    <x:xf numFmtId="203" fontId="13" fillId="2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/>
    </x:xf>
    <x:xf numFmtId="0" fontId="16" fillId="5" borderId="4" xfId="0" applyNumberFormat="1" applyFont="1" applyFill="1" applyBorder="1" applyAlignment="1">
      <x:alignment vertical="center" wrapText="1"/>
    </x:xf>
    <x:xf numFmtId="0" fontId="16" fillId="5" borderId="5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0" fontId="16" fillId="5" borderId="7" xfId="0" applyNumberFormat="1" applyFont="1" applyFill="1" applyBorder="1" applyAlignment="1">
      <x:alignment vertical="center" wrapText="1"/>
    </x:xf>
    <x:xf numFmtId="0" fontId="16" fillId="5" borderId="8" xfId="0" applyNumberFormat="1" applyFont="1" applyFill="1" applyBorder="1" applyAlignment="1">
      <x:alignment vertical="center" wrapText="1"/>
    </x:xf>
    <x:xf numFmtId="0" fontId="16" fillId="5" borderId="9" xfId="0" applyNumberFormat="1" applyFont="1" applyFill="1" applyBorder="1" applyAlignment="1">
      <x:alignment vertical="center" wrapText="1"/>
    </x:xf>
    <x:xf numFmtId="0" fontId="14" fillId="6" borderId="10" xfId="0" applyNumberFormat="1" applyFont="1" applyFill="1" applyBorder="1" applyAlignment="1">
      <x:alignment horizontal="center" vertical="center"/>
    </x:xf>
    <x:xf numFmtId="0" fontId="14" fillId="6" borderId="11" xfId="0" applyNumberFormat="1" applyFont="1" applyFill="1" applyBorder="1" applyAlignment="1">
      <x:alignment horizontal="center" vertical="center"/>
    </x:xf>
    <x:xf numFmtId="0" fontId="14" fillId="7" borderId="4" xfId="0" applyNumberFormat="1" applyFont="1" applyFill="1" applyBorder="1" applyAlignment="1">
      <x:alignment horizontal="center" vertical="center"/>
    </x:xf>
    <x:xf numFmtId="0" fontId="14" fillId="7" borderId="6" xfId="0" applyNumberFormat="1" applyFont="1" applyFill="1" applyBorder="1" applyAlignment="1">
      <x:alignment horizontal="center" vertical="center"/>
    </x:xf>
    <x:xf numFmtId="201" fontId="14" fillId="7" borderId="4" xfId="0" applyNumberFormat="1" applyFont="1" applyFill="1" applyBorder="1" applyAlignment="1">
      <x:alignment horizontal="center" vertical="center"/>
    </x:xf>
    <x:xf numFmtId="0" fontId="14" fillId="7" borderId="7" xfId="0" applyNumberFormat="1" applyFont="1" applyFill="1" applyBorder="1" applyAlignment="1">
      <x:alignment horizontal="center" vertical="center"/>
    </x:xf>
    <x:xf numFmtId="0" fontId="14" fillId="7" borderId="9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horizontal="center" vertical="center" wrapText="1"/>
    </x:xf>
    <x:xf numFmtId="200" fontId="16" fillId="0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0" fontId="16" fillId="0" borderId="2" xfId="0" applyNumberFormat="1" applyFont="1" applyFill="1" applyBorder="1" applyAlignment="1">
      <x:alignment horizontal="center" vertical="center" wrapText="1"/>
    </x:xf>
    <x:xf numFmtId="200" fontId="16" fillId="0" borderId="2" xfId="0" applyNumberFormat="1" applyFont="1" applyFill="1" applyBorder="1" applyAlignment="1">
      <x:alignment horizontal="center"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horizontal="center" vertical="center" wrapText="1"/>
    </x:xf>
    <x:xf numFmtId="200" fontId="16" fillId="0" borderId="3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0" borderId="2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horizontal="center" vertical="top" wrapText="1"/>
    </x:xf>
    <x:xf numFmtId="200" fontId="16" fillId="0" borderId="1" xfId="0" applyNumberFormat="1" applyFont="1" applyFill="1" applyBorder="1" applyAlignment="1">
      <x:alignment horizontal="center" vertical="top" wrapText="1"/>
    </x:xf>
    <x:xf numFmtId="0" fontId="16" fillId="0" borderId="2" xfId="0" applyNumberFormat="1" applyFont="1" applyFill="1" applyBorder="1" applyAlignment="1">
      <x:alignment horizontal="center" vertical="top" wrapText="1"/>
    </x:xf>
    <x:xf numFmtId="200" fontId="16" fillId="0" borderId="2" xfId="0" applyNumberFormat="1" applyFont="1" applyFill="1" applyBorder="1" applyAlignment="1">
      <x:alignment horizontal="center" vertical="top" wrapText="1"/>
    </x:xf>
    <x:xf numFmtId="0" fontId="16" fillId="0" borderId="3" xfId="0" applyNumberFormat="1" applyFont="1" applyFill="1" applyBorder="1" applyAlignment="1">
      <x:alignment horizontal="center" vertical="top" wrapText="1"/>
    </x:xf>
    <x:xf numFmtId="200" fontId="16" fillId="0" borderId="3" xfId="0" applyNumberFormat="1" applyFont="1" applyFill="1" applyBorder="1" applyAlignment="1">
      <x:alignment horizontal="center" vertical="top" wrapText="1"/>
    </x:xf>
    <x:xf numFmtId="0" fontId="14" fillId="12" borderId="0" xfId="0" applyNumberFormat="1" applyFont="1" applyFill="1" applyBorder="1" applyAlignment="1">
      <x:alignment vertical="center"/>
    </x:xf>
    <x:xf numFmtId="202" fontId="16" fillId="0" borderId="1" xfId="0" applyNumberFormat="1" applyFont="1" applyFill="1" applyBorder="1" applyAlignment="1">
      <x:alignment vertical="top" wrapText="1"/>
    </x:xf>
    <x:xf numFmtId="200" fontId="16" fillId="0" borderId="1" xfId="0" applyNumberFormat="1" applyFont="1" applyFill="1" applyBorder="1" applyAlignment="1">
      <x:alignment vertical="top" wrapText="1"/>
    </x:xf>
    <x:xf numFmtId="202" fontId="16" fillId="0" borderId="2" xfId="0" applyNumberFormat="1" applyFont="1" applyFill="1" applyBorder="1" applyAlignment="1">
      <x:alignment vertical="top" wrapText="1"/>
    </x:xf>
    <x:xf numFmtId="200" fontId="16" fillId="0" borderId="2" xfId="0" applyNumberFormat="1" applyFont="1" applyFill="1" applyBorder="1" applyAlignment="1">
      <x:alignment vertical="top" wrapText="1"/>
    </x:xf>
    <x:xf numFmtId="202" fontId="16" fillId="0" borderId="3" xfId="0" applyNumberFormat="1" applyFont="1" applyFill="1" applyBorder="1" applyAlignment="1">
      <x:alignment vertical="top" wrapText="1"/>
    </x:xf>
    <x:xf numFmtId="200" fontId="16" fillId="0" borderId="3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horizontal="right"/>
    </x:xf>
    <x:xf numFmtId="203" fontId="14" fillId="2" borderId="0" xfId="0" applyNumberFormat="1" applyFont="1" applyFill="1" applyBorder="1" applyAlignment="1">
      <x:alignment horizontal="center"/>
    </x:xf>
    <x:xf numFmtId="202" fontId="16" fillId="0" borderId="1" xfId="0" applyNumberFormat="1" applyFont="1" applyFill="1" applyBorder="1" applyAlignment="1">
      <x:alignment vertical="center" wrapText="1"/>
    </x:xf>
    <x:xf numFmtId="200" fontId="16" fillId="0" borderId="1" xfId="0" applyNumberFormat="1" applyFont="1" applyFill="1" applyBorder="1" applyAlignment="1">
      <x:alignment vertical="center" wrapText="1"/>
    </x:xf>
    <x:xf numFmtId="202" fontId="16" fillId="0" borderId="2" xfId="0" applyNumberFormat="1" applyFont="1" applyFill="1" applyBorder="1" applyAlignment="1">
      <x:alignment vertical="center" wrapText="1"/>
    </x:xf>
    <x:xf numFmtId="200" fontId="16" fillId="0" borderId="2" xfId="0" applyNumberFormat="1" applyFont="1" applyFill="1" applyBorder="1" applyAlignment="1">
      <x:alignment vertical="center" wrapText="1"/>
    </x:xf>
    <x:xf numFmtId="202" fontId="16" fillId="0" borderId="3" xfId="0" applyNumberFormat="1" applyFont="1" applyFill="1" applyBorder="1" applyAlignment="1">
      <x:alignment vertical="center" wrapText="1"/>
    </x:xf>
    <x:xf numFmtId="200" fontId="16" fillId="0" borderId="3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right" vertical="center"/>
    </x:xf>
    <x:xf numFmtId="203" fontId="14" fillId="2" borderId="0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horizontal="center" vertical="center" wrapText="1"/>
    </x:xf>
    <x:xf numFmtId="0" fontId="19" fillId="4" borderId="0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 applyAlignment="1">
      <x:alignment vertical="center"/>
    </x:xf>
    <x:xf numFmtId="0" fontId="19" fillId="12" borderId="0" xfId="0" applyNumberFormat="1" applyFont="1" applyFill="1" applyBorder="1" applyAlignment="1">
      <x:alignment vertical="center"/>
    </x:xf>
    <x:xf numFmtId="203" fontId="20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BF7200"/>
      </x:font>
      <x:fill>
        <x:patternFill patternType="solid">
          <x:bgColor rgb="FFFFF2CC"/>
        </x:patternFill>
      </x:fill>
    </x:dxf>
    <x:dxf>
      <x:font>
        <x:color rgb="FF5B6573"/>
      </x:font>
      <x:fill>
        <x:patternFill patternType="solid">
          <x:bgColor rgb="FFF2F4F7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BF7200"/>
      </x:font>
      <x:fill>
        <x:patternFill patternType="solid">
          <x:bgColor rgb="FFFFF2CC"/>
        </x:patternFill>
      </x:fill>
    </x:dxf>
    <x:dxf>
      <x:font>
        <x:color rgb="FF5B6573"/>
      </x:font>
      <x:fill>
        <x:patternFill patternType="solid">
          <x:bgColor rgb="FFF2F4F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8388f5d214cc1" /><Relationship Type="http://schemas.openxmlformats.org/officeDocument/2006/relationships/theme" Target="/xl/theme/theme1.xml" Id="R9a9c44fedc9b48bd" /><Relationship Type="http://schemas.openxmlformats.org/officeDocument/2006/relationships/sharedStrings" Target="/xl/sharedStrings.xml" Id="Rdd68e0853d08411e" /><Relationship Type="http://schemas.openxmlformats.org/officeDocument/2006/relationships/worksheet" Target="/xl/worksheets/sheet1.xml" Id="R3ea3bcfa47364529" /><Relationship Type="http://schemas.openxmlformats.org/officeDocument/2006/relationships/worksheet" Target="/xl/worksheets/sheet2.xml" Id="R03f95043fbcb474d" /><Relationship Type="http://schemas.openxmlformats.org/officeDocument/2006/relationships/worksheet" Target="/xl/worksheets/sheet3.xml" Id="R5eac72d2655e4e01" /><Relationship Type="http://schemas.openxmlformats.org/officeDocument/2006/relationships/worksheet" Target="/xl/worksheets/sheet4.xml" Id="R851d4d9d93414575" /><Relationship Type="http://schemas.openxmlformats.org/officeDocument/2006/relationships/worksheet" Target="/xl/worksheets/sheet5.xml" Id="R9de74fb50fb642a0" /></Relationships>
</file>

<file path=xl/tables/table1.xml><?xml version="1.0" encoding="utf-8"?>
<x:table xmlns:x="http://schemas.openxmlformats.org/spreadsheetml/2006/main" id="1" name="FlowGateTasks" displayName="FlowGateTasks" ref="A4:J87" headerRowCount="1" totalsRowCount="0" totalsRowShown="0">
  <x:tableColumns count="10">
    <x:tableColumn id="1" name="序号"/>
    <x:tableColumn id="2" name="阶段"/>
    <x:tableColumn id="3" name="任务项"/>
    <x:tableColumn id="4" name="理论目的"/>
    <x:tableColumn id="5" name="当前证据"/>
    <x:tableColumn id="6" name="优先级"/>
    <x:tableColumn id="7" name="计划窗口"/>
    <x:tableColumn id="8" name="状态"/>
    <x:tableColumn id="9" name="完成度"/>
    <x:tableColumn id="10" name="验收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Gates" displayName="AcceptanceGates" ref="A4:G21" headerRowCount="1" totalsRowCount="0" totalsRowShown="0">
  <x:tableColumns count="7">
    <x:tableColumn id="1" name="Gate"/>
    <x:tableColumn id="2" name="对应阶段"/>
    <x:tableColumn id="3" name="指标/检查"/>
    <x:tableColumn id="4" name="通过标准"/>
    <x:tableColumn id="5" name="证据"/>
    <x:tableColumn id="6" name="状态"/>
    <x:tableColumn id="7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54ee7e5b4b45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ec27cdd67f349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8" hidden="0" customWidth="1"/>
    <x:col min="8" max="8" width="22" hidden="0" customWidth="1"/>
  </x:cols>
  <x:sheetData>
    <x:row r="1" ht="34" customHeight="1">
      <x:c r="A1" s="216" t="str">
        <x:v>FlowGate 企业通用 Agent 平台</x:v>
      </x:c>
      <x:c r="B1" s="216"/>
      <x:c r="C1" s="216"/>
      <x:c r="D1" s="216"/>
      <x:c r="E1" s="216"/>
      <x:c r="F1" s="216"/>
      <x:c r="G1" s="216"/>
      <x:c r="H1" s="216"/>
    </x:row>
    <x:row r="2" ht="24" customHeight="1">
      <x:c r="A2" s="154" t="str">
        <x:v>最终排期：37 个有效开发日 + 3 天风险缓冲；全职约 8 周，业余约 12-14 周</x:v>
      </x:c>
      <x:c r="B2" s="154"/>
      <x:c r="C2" s="154"/>
      <x:c r="D2" s="154"/>
      <x:c r="E2" s="154"/>
      <x:c r="F2" s="154"/>
      <x:c r="G2" s="154"/>
      <x:c r="H2" s="154"/>
    </x:row>
    <x:row r="3">
      <x:c r="A3" s="188"/>
      <x:c r="B3" s="188"/>
      <x:c r="C3" s="188"/>
      <x:c r="D3" s="188"/>
      <x:c r="E3" s="188"/>
      <x:c r="F3" s="188"/>
      <x:c r="G3" s="188"/>
      <x:c r="H3" s="188"/>
    </x:row>
    <x:row r="4">
      <x:c r="A4" s="218" t="str">
        <x:v>项目定位</x:v>
      </x:c>
      <x:c r="B4" s="218"/>
      <x:c r="C4" s="218"/>
      <x:c r="D4" s="218"/>
      <x:c r="E4" s="218"/>
      <x:c r="F4" s="218"/>
      <x:c r="G4" s="218"/>
      <x:c r="H4" s="218"/>
    </x:row>
    <x:row r="5">
      <x:c r="A5" s="157" t="str">
        <x:v>上传企业文档后，自动完成统一解析、权限化知识检索和动态任务编排，并通过 MCP/A2A 扩展受控企业操作能力。文档提供知识与规则，工具连接提供外部行动能力。</x:v>
      </x:c>
      <x:c r="B5" s="158"/>
      <x:c r="C5" s="158"/>
      <x:c r="D5" s="158"/>
      <x:c r="E5" s="158"/>
      <x:c r="F5" s="158"/>
      <x:c r="G5" s="158"/>
      <x:c r="H5" s="159"/>
    </x:row>
    <x:row r="6">
      <x:c r="A6" s="160"/>
      <x:c r="B6" s="161"/>
      <x:c r="C6" s="161"/>
      <x:c r="D6" s="161"/>
      <x:c r="E6" s="161"/>
      <x:c r="F6" s="161"/>
      <x:c r="G6" s="161"/>
      <x:c r="H6" s="162"/>
    </x:row>
    <x:row r="7">
      <x:c r="A7" s="188"/>
      <x:c r="B7" s="188"/>
      <x:c r="C7" s="188"/>
      <x:c r="D7" s="188"/>
      <x:c r="E7" s="188"/>
      <x:c r="F7" s="188"/>
      <x:c r="G7" s="188"/>
      <x:c r="H7" s="188"/>
    </x:row>
    <x:row r="8" ht="24" customHeight="1">
      <x:c r="A8" s="218" t="str">
        <x:v>当前完成度</x:v>
      </x:c>
      <x:c r="B8" s="218"/>
      <x:c r="C8" s="218"/>
      <x:c r="D8" s="218"/>
      <x:c r="E8" s="218"/>
      <x:c r="F8" s="218"/>
      <x:c r="G8" s="218"/>
      <x:c r="H8" s="218"/>
    </x:row>
    <x:row r="9">
      <x:c r="A9" s="163" t="str">
        <x:v>总任务数</x:v>
      </x:c>
      <x:c r="B9" s="164"/>
      <x:c r="C9" s="163" t="str">
        <x:v>已完成</x:v>
      </x:c>
      <x:c r="D9" s="164"/>
      <x:c r="E9" s="163" t="str">
        <x:v>部分完成</x:v>
      </x:c>
      <x:c r="F9" s="164"/>
      <x:c r="G9" s="163" t="str">
        <x:v>加权完成度</x:v>
      </x:c>
      <x:c r="H9" s="164"/>
    </x:row>
    <x:row r="10">
      <x:c r="A10" s="165" t="n">
        <x:f>COUNTA('项目排期'!$C$5:$C$87)</x:f>
        <x:v>83</x:v>
      </x:c>
      <x:c r="B10" s="166"/>
      <x:c r="C10" s="165" t="n">
        <x:f>COUNTIF('项目排期'!$H$5:$H$87,"✓ 已完成")</x:f>
        <x:v>12</x:v>
      </x:c>
      <x:c r="D10" s="166"/>
      <x:c r="E10" s="165" t="n">
        <x:f>COUNTIF('项目排期'!$H$5:$H$87,"部分完成")</x:f>
        <x:v>5</x:v>
      </x:c>
      <x:c r="F10" s="166"/>
      <x:c r="G10" s="167" t="n">
        <x:f>IFERROR(SUM('项目排期'!$I$5:$I$87)/COUNTA('项目排期'!$C$5:$C$87),0)</x:f>
        <x:v>0.1746987951807229</x:v>
      </x:c>
      <x:c r="H10" s="166"/>
    </x:row>
    <x:row r="11">
      <x:c r="A11" s="168"/>
      <x:c r="B11" s="169"/>
      <x:c r="C11" s="168"/>
      <x:c r="D11" s="169"/>
      <x:c r="E11" s="168"/>
      <x:c r="F11" s="169"/>
      <x:c r="G11" s="168"/>
      <x:c r="H11" s="169"/>
    </x:row>
    <x:row r="12">
      <x:c r="A12" s="188"/>
      <x:c r="B12" s="188"/>
      <x:c r="C12" s="188"/>
      <x:c r="D12" s="188"/>
      <x:c r="E12" s="188"/>
      <x:c r="F12" s="188"/>
      <x:c r="G12" s="188"/>
      <x:c r="H12" s="188"/>
    </x:row>
    <x:row r="13" ht="24" customHeight="1">
      <x:c r="A13" s="218" t="str">
        <x:v>阶段进度与排期</x:v>
      </x:c>
      <x:c r="B13" s="218"/>
      <x:c r="C13" s="218"/>
      <x:c r="D13" s="218"/>
      <x:c r="E13" s="218"/>
      <x:c r="F13" s="218"/>
      <x:c r="G13" s="218"/>
      <x:c r="H13" s="218"/>
    </x:row>
    <x:row r="14">
      <x:c r="A14" s="217" t="str">
        <x:v>阶段</x:v>
      </x:c>
      <x:c r="B14" s="217" t="str">
        <x:v>开发日</x:v>
      </x:c>
      <x:c r="C14" s="217" t="str">
        <x:v>开始</x:v>
      </x:c>
      <x:c r="D14" s="217" t="str">
        <x:v>结束</x:v>
      </x:c>
      <x:c r="E14" s="217" t="str">
        <x:v>当前进度</x:v>
      </x:c>
      <x:c r="F14" s="217" t="str">
        <x:v>阶段验收</x:v>
      </x:c>
      <x:c r="G14" s="188"/>
      <x:c r="H14" s="188"/>
    </x:row>
    <x:row r="15">
      <x:c r="A15" s="171" t="str">
        <x:v>0 工程基线</x:v>
      </x:c>
      <x:c r="B15" s="172" t="n">
        <x:v>2</x:v>
      </x:c>
      <x:c r="C15" s="172" t="str">
        <x:v>D1</x:v>
      </x:c>
      <x:c r="D15" s="172" t="str">
        <x:v>D2</x:v>
      </x:c>
      <x:c r="E15" s="173" t="n">
        <x:f>IFERROR(SUMIF('项目排期'!$B$5:$B$87,A15,'项目排期'!$I$5:$I$87)/COUNTIF('项目排期'!$B$5:$B$87,A15),0)</x:f>
        <x:v>0.5833333333333334</x:v>
      </x:c>
      <x:c r="F15" s="171" t="str">
        <x:v>五项服务健康，冒烟测试通过</x:v>
      </x:c>
      <x:c r="G15" s="188"/>
      <x:c r="H15" s="188"/>
    </x:row>
    <x:row r="16">
      <x:c r="A16" s="174" t="str">
        <x:v>1 统一文档层</x:v>
      </x:c>
      <x:c r="B16" s="175" t="n">
        <x:v>5</x:v>
      </x:c>
      <x:c r="C16" s="175" t="str">
        <x:v>D3</x:v>
      </x:c>
      <x:c r="D16" s="175" t="str">
        <x:v>D7</x:v>
      </x:c>
      <x:c r="E16" s="176" t="n">
        <x:f>IFERROR(SUMIF('项目排期'!$B$5:$B$87,A16,'项目排期'!$I$5:$I$87)/COUNTIF('项目排期'!$B$5:$B$87,A16),0)</x:f>
        <x:v>0.2727272727272727</x:v>
      </x:c>
      <x:c r="F16" s="174" t="str">
        <x:v>支持格式归一化为 DocumentIR</x:v>
      </x:c>
      <x:c r="G16" s="188"/>
      <x:c r="H16" s="188"/>
    </x:row>
    <x:row r="17">
      <x:c r="A17" s="174" t="str">
        <x:v>2 权限化 RAG</x:v>
      </x:c>
      <x:c r="B17" s="175" t="n">
        <x:v>4</x:v>
      </x:c>
      <x:c r="C17" s="175" t="str">
        <x:v>D8</x:v>
      </x:c>
      <x:c r="D17" s="175" t="str">
        <x:v>D11</x:v>
      </x:c>
      <x:c r="E17" s="176" t="n">
        <x:f>IFERROR(SUMIF('项目排期'!$B$5:$B$87,A17,'项目排期'!$I$5:$I$87)/COUNTIF('项目排期'!$B$5:$B$87,A17),0)</x:f>
        <x:v>0.36363636363636365</x:v>
      </x:c>
      <x:c r="F17" s="174" t="str">
        <x:v>无跨租户泄漏，完成检索对照</x:v>
      </x:c>
      <x:c r="G17" s="188"/>
      <x:c r="H17" s="188"/>
    </x:row>
    <x:row r="18">
      <x:c r="A18" s="174" t="str">
        <x:v>3 动态编排</x:v>
      </x:c>
      <x:c r="B18" s="175" t="n">
        <x:v>6</x:v>
      </x:c>
      <x:c r="C18" s="175" t="str">
        <x:v>D12</x:v>
      </x:c>
      <x:c r="D18" s="175" t="str">
        <x:v>D17</x:v>
      </x:c>
      <x:c r="E18" s="176" t="n">
        <x:f>IFERROR(SUMIF('项目排期'!$B$5:$B$87,A18,'项目排期'!$I$5:$I$87)/COUNTIF('项目排期'!$B$5:$B$87,A18),0)</x:f>
        <x:v>0</x:v>
      </x:c>
      <x:c r="F18" s="174" t="str">
        <x:v>预算可控、暂停恢复、SSE 可观察</x:v>
      </x:c>
      <x:c r="G18" s="188"/>
      <x:c r="H18" s="188"/>
    </x:row>
    <x:row r="19">
      <x:c r="A19" s="174" t="str">
        <x:v>4 安全能力层</x:v>
      </x:c>
      <x:c r="B19" s="175" t="n">
        <x:v>5</x:v>
      </x:c>
      <x:c r="C19" s="175" t="str">
        <x:v>D18</x:v>
      </x:c>
      <x:c r="D19" s="175" t="str">
        <x:v>D22</x:v>
      </x:c>
      <x:c r="E19" s="176" t="n">
        <x:f>IFERROR(SUMIF('项目排期'!$B$5:$B$87,A19,'项目排期'!$I$5:$I$87)/COUNTIF('项目排期'!$B$5:$B$87,A19),0)</x:f>
        <x:v>0.05555555555555555</x:v>
      </x:c>
      <x:c r="F19" s="174" t="str">
        <x:v>危险操作未经审批执行次数为 0</x:v>
      </x:c>
      <x:c r="G19" s="188"/>
      <x:c r="H19" s="188"/>
    </x:row>
    <x:row r="20">
      <x:c r="A20" s="174" t="str">
        <x:v>5 MCP 闭环</x:v>
      </x:c>
      <x:c r="B20" s="175" t="n">
        <x:v>3</x:v>
      </x:c>
      <x:c r="C20" s="175" t="str">
        <x:v>D23</x:v>
      </x:c>
      <x:c r="D20" s="175" t="str">
        <x:v>D25</x:v>
      </x:c>
      <x:c r="E20" s="176" t="n">
        <x:f>IFERROR(SUMIF('项目排期'!$B$5:$B$87,A20,'项目排期'!$I$5:$I$87)/COUNTIF('项目排期'!$B$5:$B$87,A20),0)</x:f>
        <x:v>0</x:v>
      </x:c>
      <x:c r="F20" s="174" t="str">
        <x:v>工具调用只能经 Policy→MCP</x:v>
      </x:c>
      <x:c r="G20" s="188"/>
      <x:c r="H20" s="188"/>
    </x:row>
    <x:row r="21">
      <x:c r="A21" s="174" t="str">
        <x:v>6 小模型后训练</x:v>
      </x:c>
      <x:c r="B21" s="175" t="n">
        <x:v>5</x:v>
      </x:c>
      <x:c r="C21" s="175" t="str">
        <x:v>D26</x:v>
      </x:c>
      <x:c r="D21" s="175" t="str">
        <x:v>D30</x:v>
      </x:c>
      <x:c r="E21" s="176" t="n">
        <x:f>IFERROR(SUMIF('项目排期'!$B$5:$B$87,A21,'项目排期'!$I$5:$I$87)/COUNTIF('项目排期'!$B$5:$B$87,A21),0)</x:f>
        <x:v>0</x:v>
      </x:c>
      <x:c r="F21" s="174" t="str">
        <x:v>完成 Base/SFT/BFCL 对照</x:v>
      </x:c>
      <x:c r="G21" s="188"/>
      <x:c r="H21" s="188"/>
    </x:row>
    <x:row r="22">
      <x:c r="A22" s="174" t="str">
        <x:v>7 A2A 闭环</x:v>
      </x:c>
      <x:c r="B22" s="175" t="n">
        <x:v>3</x:v>
      </x:c>
      <x:c r="C22" s="175" t="str">
        <x:v>D31</x:v>
      </x:c>
      <x:c r="D22" s="175" t="str">
        <x:v>D33</x:v>
      </x:c>
      <x:c r="E22" s="176" t="n">
        <x:f>IFERROR(SUMIF('项目排期'!$B$5:$B$87,A22,'项目排期'!$I$5:$I$87)/COUNTIF('项目排期'!$B$5:$B$87,A22),0)</x:f>
        <x:v>0</x:v>
      </x:c>
      <x:c r="F22" s="174" t="str">
        <x:v>完成一个双向外部 Agent 任务</x:v>
      </x:c>
      <x:c r="G22" s="188"/>
      <x:c r="H22" s="188"/>
    </x:row>
    <x:row r="23">
      <x:c r="A23" s="174" t="str">
        <x:v>8 评测与交付</x:v>
      </x:c>
      <x:c r="B23" s="175" t="n">
        <x:v>4</x:v>
      </x:c>
      <x:c r="C23" s="175" t="str">
        <x:v>D34</x:v>
      </x:c>
      <x:c r="D23" s="175" t="str">
        <x:v>D37</x:v>
      </x:c>
      <x:c r="E23" s="176" t="n">
        <x:f>IFERROR(SUMIF('项目排期'!$B$5:$B$87,A23,'项目排期'!$I$5:$I$87)/COUNTIF('项目排期'!$B$5:$B$87,A23),0)</x:f>
        <x:v>0</x:v>
      </x:c>
      <x:c r="F23" s="174" t="str">
        <x:v>三轮审查与可复现交付</x:v>
      </x:c>
      <x:c r="G23" s="188"/>
      <x:c r="H23" s="188"/>
    </x:row>
    <x:row r="24">
      <x:c r="A24" s="177" t="str">
        <x:v>风险缓冲</x:v>
      </x:c>
      <x:c r="B24" s="178" t="n">
        <x:v>3</x:v>
      </x:c>
      <x:c r="C24" s="178" t="str">
        <x:v>D38</x:v>
      </x:c>
      <x:c r="D24" s="178" t="str">
        <x:v>D40</x:v>
      </x:c>
      <x:c r="E24" s="179" t="n">
        <x:v>0</x:v>
      </x:c>
      <x:c r="F24" s="177" t="str">
        <x:v>只修复阻塞项，不增加功能</x:v>
      </x:c>
      <x:c r="G24" s="188"/>
      <x:c r="H24" s="188"/>
    </x:row>
    <x:row r="25">
      <x:c r="A25" s="188"/>
      <x:c r="B25" s="188"/>
      <x:c r="C25" s="188"/>
      <x:c r="D25" s="188"/>
      <x:c r="E25" s="188"/>
      <x:c r="F25" s="188"/>
      <x:c r="G25" s="188"/>
      <x:c r="H25" s="188"/>
    </x:row>
    <x:row r="26">
      <x:c r="A26" s="188"/>
      <x:c r="B26" s="188"/>
      <x:c r="C26" s="188"/>
      <x:c r="D26" s="188"/>
      <x:c r="E26" s="188"/>
      <x:c r="F26" s="188"/>
      <x:c r="G26" s="188"/>
      <x:c r="H26" s="188"/>
    </x:row>
    <x:row r="27" ht="24" customHeight="1">
      <x:c r="A27" s="219" t="str">
        <x:v>通用演示矩阵</x:v>
      </x:c>
      <x:c r="B27" s="219"/>
      <x:c r="C27" s="219"/>
      <x:c r="D27" s="219"/>
      <x:c r="E27" s="219"/>
      <x:c r="F27" s="219"/>
      <x:c r="G27" s="219"/>
      <x:c r="H27" s="219"/>
    </x:row>
    <x:row r="28">
      <x:c r="A28" s="217" t="str">
        <x:v>场景</x:v>
      </x:c>
      <x:c r="B28" s="217" t="str">
        <x:v>输入</x:v>
      </x:c>
      <x:c r="C28" s="217" t="str">
        <x:v>展示能力</x:v>
      </x:c>
      <x:c r="D28" s="217" t="str">
        <x:v>预期产物</x:v>
      </x:c>
      <x:c r="E28" s="188"/>
      <x:c r="F28" s="217" t="str">
        <x:v>状态图例</x:v>
      </x:c>
      <x:c r="G28" s="217"/>
      <x:c r="H28" s="217"/>
    </x:row>
    <x:row r="29">
      <x:c r="A29" s="171" t="str">
        <x:v>HR 制度问答</x:v>
      </x:c>
      <x:c r="B29" s="171" t="str">
        <x:v>员工手册 PDF</x:v>
      </x:c>
      <x:c r="C29" s="171" t="str">
        <x:v>解析、ACL、混合检索、引用</x:v>
      </x:c>
      <x:c r="D29" s="171" t="str">
        <x:v>带页码引用的回答</x:v>
      </x:c>
      <x:c r="E29" s="188"/>
      <x:c r="F29" s="189" t="str">
        <x:v>✓ 已完成</x:v>
      </x:c>
      <x:c r="G29" s="190" t="str">
        <x:v>已在代码或运行状态中核验</x:v>
      </x:c>
      <x:c r="H29" s="190" t="str">
        <x:v>计 100%</x:v>
      </x:c>
    </x:row>
    <x:row r="30">
      <x:c r="A30" s="174" t="str">
        <x:v>合同版本比较</x:v>
      </x:c>
      <x:c r="B30" s="174" t="str">
        <x:v>两版 DOCX/PDF</x:v>
      </x:c>
      <x:c r="C30" s="174" t="str">
        <x:v>多文档检索、差异分析</x:v>
      </x:c>
      <x:c r="D30" s="174" t="str">
        <x:v>条款差异与风险报告</x:v>
      </x:c>
      <x:c r="E30" s="188"/>
      <x:c r="F30" s="191" t="str">
        <x:v>部分完成</x:v>
      </x:c>
      <x:c r="G30" s="190" t="str">
        <x:v>已有配置或骨架但未闭环</x:v>
      </x:c>
      <x:c r="H30" s="190" t="str">
        <x:v>计 50%</x:v>
      </x:c>
    </x:row>
    <x:row r="31">
      <x:c r="A31" s="174" t="str">
        <x:v>财务表格分析</x:v>
      </x:c>
      <x:c r="B31" s="174" t="str">
        <x:v>XLSX</x:v>
      </x:c>
      <x:c r="C31" s="174" t="str">
        <x:v>表格解析、结构化抽取、归纳</x:v>
      </x:c>
      <x:c r="D31" s="174" t="str">
        <x:v>异常项与摘要</x:v>
      </x:c>
      <x:c r="E31" s="188"/>
      <x:c r="F31" s="192" t="str">
        <x:v>未开始</x:v>
      </x:c>
      <x:c r="G31" s="190" t="str">
        <x:v>尚无可核验实现</x:v>
      </x:c>
      <x:c r="H31" s="190" t="str">
        <x:v>计 0%</x:v>
      </x:c>
    </x:row>
    <x:row r="32">
      <x:c r="A32" s="177" t="str">
        <x:v>SOP 工作流</x:v>
      </x:c>
      <x:c r="B32" s="177" t="str">
        <x:v>流程文档 + 用户指令</x:v>
      </x:c>
      <x:c r="C32" s="177" t="str">
        <x:v>动态规划、MCP、审批、恢复</x:v>
      </x:c>
      <x:c r="D32" s="177" t="str">
        <x:v>受控任务执行记录</x:v>
      </x:c>
      <x:c r="E32" s="188"/>
      <x:c r="F32" s="188"/>
      <x:c r="G32" s="188"/>
      <x:c r="H32" s="188"/>
    </x:row>
  </x:sheetData>
  <x:mergeCells>
    <x:mergeCell ref="A1:H1"/>
    <x:mergeCell ref="A2:H2"/>
    <x:mergeCell ref="A4:H4"/>
    <x:mergeCell ref="A5:H6"/>
    <x:mergeCell ref="A8:H8"/>
    <x:mergeCell ref="A9:B9"/>
    <x:mergeCell ref="C9:D9"/>
    <x:mergeCell ref="E9:F9"/>
    <x:mergeCell ref="G9:H9"/>
    <x:mergeCell ref="A10:B11"/>
    <x:mergeCell ref="C10:D11"/>
    <x:mergeCell ref="E10:F11"/>
    <x:mergeCell ref="G10:H11"/>
    <x:mergeCell ref="A13:H13"/>
    <x:mergeCell ref="A27:H27"/>
    <x:mergeCell ref="F28:H28"/>
  </x:mergeCells>
  <x:conditionalFormatting sqref="E15:E24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70AD47"/>
            </x14:dataBar>
          </x14:cfRule>
          <xm:sqref>E15:E24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34" hidden="0" customWidth="1"/>
    <x:col min="5" max="5" width="38" hidden="0" customWidth="1"/>
    <x:col min="6" max="6" width="10" hidden="0" customWidth="1"/>
    <x:col min="7" max="7" width="13" hidden="0" customWidth="1"/>
    <x:col min="8" max="8" width="14" hidden="0" customWidth="1"/>
    <x:col min="9" max="9" width="10" hidden="0" customWidth="1"/>
    <x:col min="10" max="10" width="38" hidden="0" customWidth="1"/>
  </x:cols>
  <x:sheetData>
    <x:row r="1" ht="34" customHeight="1">
      <x:c r="A1" s="216" t="str">
        <x:v>FlowGate 项目排期与当前完成清单</x:v>
      </x:c>
      <x:c r="B1" s="216"/>
      <x:c r="C1" s="216"/>
      <x:c r="D1" s="216"/>
      <x:c r="E1" s="216"/>
      <x:c r="F1" s="216"/>
      <x:c r="G1" s="216"/>
      <x:c r="H1" s="216"/>
      <x:c r="I1" s="216"/>
      <x:c r="J1" s="216"/>
    </x:row>
    <x:row r="2" ht="24" customHeight="1">
      <x:c r="A2" s="154" t="str">
        <x:v>状态依据：2026-08-03 对 WSL /home/lijinyang/FlowGate 的代码、配置与容器状态盘点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>
      <x:c r="A3" s="188"/>
      <x:c r="B3" s="188"/>
      <x:c r="C3" s="188"/>
      <x:c r="D3" s="188"/>
      <x:c r="E3" s="188"/>
      <x:c r="F3" s="188"/>
      <x:c r="G3" s="188"/>
      <x:c r="H3" s="188"/>
      <x:c r="I3" s="188"/>
      <x:c r="J3" s="188"/>
    </x:row>
    <x:row r="4">
      <x:c r="A4" s="217" t="str">
        <x:v>序号</x:v>
      </x:c>
      <x:c r="B4" s="217" t="str">
        <x:v>阶段</x:v>
      </x:c>
      <x:c r="C4" s="217" t="str">
        <x:v>任务项</x:v>
      </x:c>
      <x:c r="D4" s="217" t="str">
        <x:v>理论目的</x:v>
      </x:c>
      <x:c r="E4" s="217" t="str">
        <x:v>当前证据</x:v>
      </x:c>
      <x:c r="F4" s="217" t="str">
        <x:v>优先级</x:v>
      </x:c>
      <x:c r="G4" s="217" t="str">
        <x:v>计划窗口</x:v>
      </x:c>
      <x:c r="H4" s="217" t="str">
        <x:v>状态</x:v>
      </x:c>
      <x:c r="I4" s="217" t="str">
        <x:v>完成度</x:v>
      </x:c>
      <x:c r="J4" s="217" t="str">
        <x:v>验收标准</x:v>
      </x:c>
    </x:row>
    <x:row r="5">
      <x:c r="A5" s="172" t="n">
        <x:v>1</x:v>
      </x:c>
      <x:c r="B5" s="171" t="str">
        <x:v>0 工程基线</x:v>
      </x:c>
      <x:c r="C5" s="171" t="str">
        <x:v>FastAPI 后端骨架</x:v>
      </x:c>
      <x:c r="D5" s="171" t="str">
        <x:v>提供统一 API 服务入口</x:v>
      </x:c>
      <x:c r="E5" s="171" t="str">
        <x:v>backend/app/main.py 已注册 health/chat/documents/rag 路由</x:v>
      </x:c>
      <x:c r="F5" s="172" t="str">
        <x:v>P0</x:v>
      </x:c>
      <x:c r="G5" s="172" t="str">
        <x:v>D1-D2</x:v>
      </x:c>
      <x:c r="H5" s="172" t="str">
        <x:v>✓ 已完成</x:v>
      </x:c>
      <x:c r="I5" s="173" t="n">
        <x:f>IF(H5="✓ 已完成",1,IF(H5="部分完成",0.5,0))</x:f>
        <x:v>1</x:v>
      </x:c>
      <x:c r="J5" s="171" t="str">
        <x:v>应用可加载并暴露基础路由</x:v>
      </x:c>
    </x:row>
    <x:row r="6">
      <x:c r="A6" s="175" t="n">
        <x:v>2</x:v>
      </x:c>
      <x:c r="B6" s="174" t="str">
        <x:v>0 工程基线</x:v>
      </x:c>
      <x:c r="C6" s="174" t="str">
        <x:v>Next.js 前端骨架</x:v>
      </x:c>
      <x:c r="D6" s="174" t="str">
        <x:v>提供企业工作台入口</x:v>
      </x:c>
      <x:c r="E6" s="174" t="str">
        <x:v>首页、聊天、知识库、任务、管理页面已存在</x:v>
      </x:c>
      <x:c r="F6" s="175" t="str">
        <x:v>P0</x:v>
      </x:c>
      <x:c r="G6" s="175" t="str">
        <x:v>D1-D2</x:v>
      </x:c>
      <x:c r="H6" s="175" t="str">
        <x:v>✓ 已完成</x:v>
      </x:c>
      <x:c r="I6" s="176" t="n">
        <x:f>IF(H6="✓ 已完成",1,IF(H6="部分完成",0.5,0))</x:f>
        <x:v>1</x:v>
      </x:c>
      <x:c r="J6" s="174" t="str">
        <x:v>页面路由可访问</x:v>
      </x:c>
    </x:row>
    <x:row r="7">
      <x:c r="A7" s="175" t="n">
        <x:v>3</x:v>
      </x:c>
      <x:c r="B7" s="174" t="str">
        <x:v>0 工程基线</x:v>
      </x:c>
      <x:c r="C7" s="174" t="str">
        <x:v>OpenAI-compatible LLM 客户端</x:v>
      </x:c>
      <x:c r="D7" s="174" t="str">
        <x:v>屏蔽不同模型供应商差异</x:v>
      </x:c>
      <x:c r="E7" s="174" t="str">
        <x:v>backend/app/services/llm.py 已实现 AsyncOpenAI 调用</x:v>
      </x:c>
      <x:c r="F7" s="175" t="str">
        <x:v>P0</x:v>
      </x:c>
      <x:c r="G7" s="175" t="str">
        <x:v>D1-D2</x:v>
      </x:c>
      <x:c r="H7" s="175" t="str">
        <x:v>✓ 已完成</x:v>
      </x:c>
      <x:c r="I7" s="176" t="n">
        <x:f>IF(H7="✓ 已完成",1,IF(H7="部分完成",0.5,0))</x:f>
        <x:v>1</x:v>
      </x:c>
      <x:c r="J7" s="174" t="str">
        <x:v>可通过环境变量切换模型端点</x:v>
      </x:c>
    </x:row>
    <x:row r="8">
      <x:c r="A8" s="175" t="n">
        <x:v>4</x:v>
      </x:c>
      <x:c r="B8" s="174" t="str">
        <x:v>0 工程基线</x:v>
      </x:c>
      <x:c r="C8" s="174" t="str">
        <x:v>Redis 服务</x:v>
      </x:c>
      <x:c r="D8" s="174" t="str">
        <x:v>提供缓存、锁和队列基础</x:v>
      </x:c>
      <x:c r="E8" s="174" t="str">
        <x:v>flowgate-redis 容器运行且健康</x:v>
      </x:c>
      <x:c r="F8" s="175" t="str">
        <x:v>P0</x:v>
      </x:c>
      <x:c r="G8" s="175" t="str">
        <x:v>D1-D2</x:v>
      </x:c>
      <x:c r="H8" s="175" t="str">
        <x:v>✓ 已完成</x:v>
      </x:c>
      <x:c r="I8" s="176" t="n">
        <x:f>IF(H8="✓ 已完成",1,IF(H8="部分完成",0.5,0))</x:f>
        <x:v>1</x:v>
      </x:c>
      <x:c r="J8" s="174" t="str">
        <x:v>健康检查通过</x:v>
      </x:c>
    </x:row>
    <x:row r="9">
      <x:c r="A9" s="175" t="n">
        <x:v>5</x:v>
      </x:c>
      <x:c r="B9" s="174" t="str">
        <x:v>0 工程基线</x:v>
      </x:c>
      <x:c r="C9" s="174" t="str">
        <x:v>Qdrant 服务</x:v>
      </x:c>
      <x:c r="D9" s="174" t="str">
        <x:v>提供向量存储</x:v>
      </x:c>
      <x:c r="E9" s="174" t="str">
        <x:v>flowgate-qdrant 容器运行且健康</x:v>
      </x:c>
      <x:c r="F9" s="175" t="str">
        <x:v>P0</x:v>
      </x:c>
      <x:c r="G9" s="175" t="str">
        <x:v>D1-D2</x:v>
      </x:c>
      <x:c r="H9" s="175" t="str">
        <x:v>✓ 已完成</x:v>
      </x:c>
      <x:c r="I9" s="176" t="n">
        <x:f>IF(H9="✓ 已完成",1,IF(H9="部分完成",0.5,0))</x:f>
        <x:v>1</x:v>
      </x:c>
      <x:c r="J9" s="174" t="str">
        <x:v>Collection 可创建并查询</x:v>
      </x:c>
    </x:row>
    <x:row r="10">
      <x:c r="A10" s="175" t="n">
        <x:v>6</x:v>
      </x:c>
      <x:c r="B10" s="174" t="str">
        <x:v>0 工程基线</x:v>
      </x:c>
      <x:c r="C10" s="174" t="str">
        <x:v>PostgreSQL 配置与连接</x:v>
      </x:c>
      <x:c r="D10" s="174" t="str">
        <x:v>承载事实状态、审批和 Trace</x:v>
      </x:c>
      <x:c r="E10" s="174" t="str">
        <x:v>已配置 SQLAlchemy 与 Compose；容器当前 Exited (127)</x:v>
      </x:c>
      <x:c r="F10" s="175" t="str">
        <x:v>P0</x:v>
      </x:c>
      <x:c r="G10" s="175" t="str">
        <x:v>D1-D2</x:v>
      </x:c>
      <x:c r="H10" s="175" t="str">
        <x:v>部分完成</x:v>
      </x:c>
      <x:c r="I10" s="176" t="n">
        <x:f>IF(H10="✓ 已完成",1,IF(H10="部分完成",0.5,0))</x:f>
        <x:v>0.5</x:v>
      </x:c>
      <x:c r="J10" s="174" t="str">
        <x:v>容器健康且后端 SELECT 1 成功</x:v>
      </x:c>
    </x:row>
    <x:row r="11">
      <x:c r="A11" s="175" t="n">
        <x:v>7</x:v>
      </x:c>
      <x:c r="B11" s="174" t="str">
        <x:v>0 工程基线</x:v>
      </x:c>
      <x:c r="C11" s="174" t="str">
        <x:v>Docker Compose 一键启动</x:v>
      </x:c>
      <x:c r="D11" s="174" t="str">
        <x:v>保证环境可复现</x:v>
      </x:c>
      <x:c r="E11" s="174" t="str">
        <x:v>Compose 已配置；当前后端容器缺失、PostgreSQL 停止</x:v>
      </x:c>
      <x:c r="F11" s="175" t="str">
        <x:v>P0</x:v>
      </x:c>
      <x:c r="G11" s="175" t="str">
        <x:v>D1-D2</x:v>
      </x:c>
      <x:c r="H11" s="175" t="str">
        <x:v>部分完成</x:v>
      </x:c>
      <x:c r="I11" s="176" t="n">
        <x:f>IF(H11="✓ 已完成",1,IF(H11="部分完成",0.5,0))</x:f>
        <x:v>0.5</x:v>
      </x:c>
      <x:c r="J11" s="174" t="str">
        <x:v>五项服务全部 healthy</x:v>
      </x:c>
    </x:row>
    <x:row r="12">
      <x:c r="A12" s="175" t="n">
        <x:v>8</x:v>
      </x:c>
      <x:c r="B12" s="174" t="str">
        <x:v>0 工程基线</x:v>
      </x:c>
      <x:c r="C12" s="174" t="str">
        <x:v>依赖服务健康检查</x:v>
      </x:c>
      <x:c r="D12" s="174" t="str">
        <x:v>快速定位基础设施故障</x:v>
      </x:c>
      <x:c r="E12" s="174" t="str">
        <x:v>GET /api/health 已检查 DB、Redis、Qdrant</x:v>
      </x:c>
      <x:c r="F12" s="175" t="str">
        <x:v>P0</x:v>
      </x:c>
      <x:c r="G12" s="175" t="str">
        <x:v>D1-D2</x:v>
      </x:c>
      <x:c r="H12" s="175" t="str">
        <x:v>✓ 已完成</x:v>
      </x:c>
      <x:c r="I12" s="176" t="n">
        <x:f>IF(H12="✓ 已完成",1,IF(H12="部分完成",0.5,0))</x:f>
        <x:v>1</x:v>
      </x:c>
      <x:c r="J12" s="174" t="str">
        <x:v>返回各依赖独立状态</x:v>
      </x:c>
    </x:row>
    <x:row r="13">
      <x:c r="A13" s="175" t="n">
        <x:v>9</x:v>
      </x:c>
      <x:c r="B13" s="174" t="str">
        <x:v>0 工程基线</x:v>
      </x:c>
      <x:c r="C13" s="174" t="str">
        <x:v>Git 初始化与基线提交</x:v>
      </x:c>
      <x:c r="D13" s="174" t="str">
        <x:v>建立可审计变更历史</x:v>
      </x:c>
      <x:c r="E13" s="174" t="str">
        <x:v>当前目录不是 Git 仓库</x:v>
      </x:c>
      <x:c r="F13" s="175" t="str">
        <x:v>P0</x:v>
      </x:c>
      <x:c r="G13" s="175" t="str">
        <x:v>D1-D2</x:v>
      </x:c>
      <x:c r="H13" s="175" t="str">
        <x:v>未开始</x:v>
      </x:c>
      <x:c r="I13" s="176" t="n">
        <x:f>IF(H13="✓ 已完成",1,IF(H13="部分完成",0.5,0))</x:f>
        <x:v>0</x:v>
      </x:c>
      <x:c r="J13" s="174" t="str">
        <x:v>存在首个可运行基线提交</x:v>
      </x:c>
    </x:row>
    <x:row r="14">
      <x:c r="A14" s="175" t="n">
        <x:v>10</x:v>
      </x:c>
      <x:c r="B14" s="174" t="str">
        <x:v>0 工程基线</x:v>
      </x:c>
      <x:c r="C14" s="174" t="str">
        <x:v>Alembic 数据库迁移</x:v>
      </x:c>
      <x:c r="D14" s="174" t="str">
        <x:v>保证 Schema 可演进</x:v>
      </x:c>
      <x:c r="E14" s="174" t="str">
        <x:v>当前没有迁移目录</x:v>
      </x:c>
      <x:c r="F14" s="175" t="str">
        <x:v>P0</x:v>
      </x:c>
      <x:c r="G14" s="175" t="str">
        <x:v>D1-D2</x:v>
      </x:c>
      <x:c r="H14" s="175" t="str">
        <x:v>未开始</x:v>
      </x:c>
      <x:c r="I14" s="176" t="n">
        <x:f>IF(H14="✓ 已完成",1,IF(H14="部分完成",0.5,0))</x:f>
        <x:v>0</x:v>
      </x:c>
      <x:c r="J14" s="174" t="str">
        <x:v>alembic upgrade head 可建库</x:v>
      </x:c>
    </x:row>
    <x:row r="15">
      <x:c r="A15" s="175" t="n">
        <x:v>11</x:v>
      </x:c>
      <x:c r="B15" s="174" t="str">
        <x:v>0 工程基线</x:v>
      </x:c>
      <x:c r="C15" s="174" t="str">
        <x:v>依赖锁定</x:v>
      </x:c>
      <x:c r="D15" s="174" t="str">
        <x:v>避免环境漂移</x:v>
      </x:c>
      <x:c r="E15" s="174" t="str">
        <x:v>无 Python lock 与 package-lock</x:v>
      </x:c>
      <x:c r="F15" s="175" t="str">
        <x:v>P0</x:v>
      </x:c>
      <x:c r="G15" s="175" t="str">
        <x:v>D1-D2</x:v>
      </x:c>
      <x:c r="H15" s="175" t="str">
        <x:v>未开始</x:v>
      </x:c>
      <x:c r="I15" s="176" t="n">
        <x:f>IF(H15="✓ 已完成",1,IF(H15="部分完成",0.5,0))</x:f>
        <x:v>0</x:v>
      </x:c>
      <x:c r="J15" s="174" t="str">
        <x:v>前后端依赖均可重复安装</x:v>
      </x:c>
    </x:row>
    <x:row r="16">
      <x:c r="A16" s="175" t="n">
        <x:v>12</x:v>
      </x:c>
      <x:c r="B16" s="174" t="str">
        <x:v>0 工程基线</x:v>
      </x:c>
      <x:c r="C16" s="174" t="str">
        <x:v>自动化冒烟测试</x:v>
      </x:c>
      <x:c r="D16" s="174" t="str">
        <x:v>保证每阶段保持可运行</x:v>
      </x:c>
      <x:c r="E16" s="174" t="str">
        <x:v>当前没有 tests 目录</x:v>
      </x:c>
      <x:c r="F16" s="175" t="str">
        <x:v>P0</x:v>
      </x:c>
      <x:c r="G16" s="175" t="str">
        <x:v>D1-D2</x:v>
      </x:c>
      <x:c r="H16" s="175" t="str">
        <x:v>未开始</x:v>
      </x:c>
      <x:c r="I16" s="176" t="n">
        <x:f>IF(H16="✓ 已完成",1,IF(H16="部分完成",0.5,0))</x:f>
        <x:v>0</x:v>
      </x:c>
      <x:c r="J16" s="174" t="str">
        <x:v>一条命令完成 API 与页面冒烟测试</x:v>
      </x:c>
    </x:row>
    <x:row r="17">
      <x:c r="A17" s="175" t="n">
        <x:v>13</x:v>
      </x:c>
      <x:c r="B17" s="174" t="str">
        <x:v>1 统一文档层</x:v>
      </x:c>
      <x:c r="C17" s="174" t="str">
        <x:v>UTF-8 文本上传</x:v>
      </x:c>
      <x:c r="D17" s="174" t="str">
        <x:v>建立最小文档入口</x:v>
      </x:c>
      <x:c r="E17" s="174" t="str">
        <x:v>POST /api/documents/upload 已读取并索引 UTF-8 文件</x:v>
      </x:c>
      <x:c r="F17" s="175" t="str">
        <x:v>P0</x:v>
      </x:c>
      <x:c r="G17" s="175" t="str">
        <x:v>D3-D7</x:v>
      </x:c>
      <x:c r="H17" s="175" t="str">
        <x:v>✓ 已完成</x:v>
      </x:c>
      <x:c r="I17" s="176" t="n">
        <x:f>IF(H17="✓ 已完成",1,IF(H17="部分完成",0.5,0))</x:f>
        <x:v>1</x:v>
      </x:c>
      <x:c r="J17" s="174" t="str">
        <x:v>TXT/MD 文本可入库</x:v>
      </x:c>
    </x:row>
    <x:row r="18">
      <x:c r="A18" s="175" t="n">
        <x:v>14</x:v>
      </x:c>
      <x:c r="B18" s="174" t="str">
        <x:v>1 统一文档层</x:v>
      </x:c>
      <x:c r="C18" s="174" t="str">
        <x:v>基础文本切分</x:v>
      </x:c>
      <x:c r="D18" s="174" t="str">
        <x:v>把长文档转换为可检索块</x:v>
      </x:c>
      <x:c r="E18" s="174" t="str">
        <x:v>split_text 已按段落和句子切分</x:v>
      </x:c>
      <x:c r="F18" s="175" t="str">
        <x:v>P0</x:v>
      </x:c>
      <x:c r="G18" s="175" t="str">
        <x:v>D3-D7</x:v>
      </x:c>
      <x:c r="H18" s="175" t="str">
        <x:v>✓ 已完成</x:v>
      </x:c>
      <x:c r="I18" s="176" t="n">
        <x:f>IF(H18="✓ 已完成",1,IF(H18="部分完成",0.5,0))</x:f>
        <x:v>1</x:v>
      </x:c>
      <x:c r="J18" s="174" t="str">
        <x:v>长文本能稳定产出 Chunk</x:v>
      </x:c>
    </x:row>
    <x:row r="19">
      <x:c r="A19" s="175" t="n">
        <x:v>15</x:v>
      </x:c>
      <x:c r="B19" s="174" t="str">
        <x:v>1 统一文档层</x:v>
      </x:c>
      <x:c r="C19" s="174" t="str">
        <x:v>PDF 解析</x:v>
      </x:c>
      <x:c r="D19" s="174" t="str">
        <x:v>支持主要企业文档格式</x:v>
      </x:c>
      <x:c r="E19" s="174" t="str">
        <x:v>未实现</x:v>
      </x:c>
      <x:c r="F19" s="175" t="str">
        <x:v>P0</x:v>
      </x:c>
      <x:c r="G19" s="175" t="str">
        <x:v>D3-D7</x:v>
      </x:c>
      <x:c r="H19" s="175" t="str">
        <x:v>未开始</x:v>
      </x:c>
      <x:c r="I19" s="176" t="n">
        <x:f>IF(H19="✓ 已完成",1,IF(H19="部分完成",0.5,0))</x:f>
        <x:v>0</x:v>
      </x:c>
      <x:c r="J19" s="174" t="str">
        <x:v>保留页码、标题和段落顺序</x:v>
      </x:c>
    </x:row>
    <x:row r="20">
      <x:c r="A20" s="175" t="n">
        <x:v>16</x:v>
      </x:c>
      <x:c r="B20" s="174" t="str">
        <x:v>1 统一文档层</x:v>
      </x:c>
      <x:c r="C20" s="174" t="str">
        <x:v>DOCX 解析</x:v>
      </x:c>
      <x:c r="D20" s="174" t="str">
        <x:v>支持制度、合同和报告</x:v>
      </x:c>
      <x:c r="E20" s="174" t="str">
        <x:v>未实现</x:v>
      </x:c>
      <x:c r="F20" s="175" t="str">
        <x:v>P0</x:v>
      </x:c>
      <x:c r="G20" s="175" t="str">
        <x:v>D3-D7</x:v>
      </x:c>
      <x:c r="H20" s="175" t="str">
        <x:v>未开始</x:v>
      </x:c>
      <x:c r="I20" s="176" t="n">
        <x:f>IF(H20="✓ 已完成",1,IF(H20="部分完成",0.5,0))</x:f>
        <x:v>0</x:v>
      </x:c>
      <x:c r="J20" s="174" t="str">
        <x:v>保留标题层级与表格</x:v>
      </x:c>
    </x:row>
    <x:row r="21">
      <x:c r="A21" s="175" t="n">
        <x:v>17</x:v>
      </x:c>
      <x:c r="B21" s="174" t="str">
        <x:v>1 统一文档层</x:v>
      </x:c>
      <x:c r="C21" s="174" t="str">
        <x:v>PPTX 解析</x:v>
      </x:c>
      <x:c r="D21" s="174" t="str">
        <x:v>支持演示材料知识化</x:v>
      </x:c>
      <x:c r="E21" s="174" t="str">
        <x:v>未实现</x:v>
      </x:c>
      <x:c r="F21" s="175" t="str">
        <x:v>P1</x:v>
      </x:c>
      <x:c r="G21" s="175" t="str">
        <x:v>D3-D7</x:v>
      </x:c>
      <x:c r="H21" s="175" t="str">
        <x:v>未开始</x:v>
      </x:c>
      <x:c r="I21" s="176" t="n">
        <x:f>IF(H21="✓ 已完成",1,IF(H21="部分完成",0.5,0))</x:f>
        <x:v>0</x:v>
      </x:c>
      <x:c r="J21" s="174" t="str">
        <x:v>保留页码、文本块和备注</x:v>
      </x:c>
    </x:row>
    <x:row r="22">
      <x:c r="A22" s="175" t="n">
        <x:v>18</x:v>
      </x:c>
      <x:c r="B22" s="174" t="str">
        <x:v>1 统一文档层</x:v>
      </x:c>
      <x:c r="C22" s="174" t="str">
        <x:v>XLSX 与表格解析</x:v>
      </x:c>
      <x:c r="D22" s="174" t="str">
        <x:v>支持结构化企业数据</x:v>
      </x:c>
      <x:c r="E22" s="174" t="str">
        <x:v>未实现</x:v>
      </x:c>
      <x:c r="F22" s="175" t="str">
        <x:v>P0</x:v>
      </x:c>
      <x:c r="G22" s="175" t="str">
        <x:v>D3-D7</x:v>
      </x:c>
      <x:c r="H22" s="175" t="str">
        <x:v>未开始</x:v>
      </x:c>
      <x:c r="I22" s="176" t="n">
        <x:f>IF(H22="✓ 已完成",1,IF(H22="部分完成",0.5,0))</x:f>
        <x:v>0</x:v>
      </x:c>
      <x:c r="J22" s="174" t="str">
        <x:v>保留 Sheet、单元格和表头关系</x:v>
      </x:c>
    </x:row>
    <x:row r="23">
      <x:c r="A23" s="175" t="n">
        <x:v>19</x:v>
      </x:c>
      <x:c r="B23" s="174" t="str">
        <x:v>1 统一文档层</x:v>
      </x:c>
      <x:c r="C23" s="174" t="str">
        <x:v>HTML/MD/TXT 统一解析</x:v>
      </x:c>
      <x:c r="D23" s="174" t="str">
        <x:v>消除下游格式分支</x:v>
      </x:c>
      <x:c r="E23" s="174" t="str">
        <x:v>仅有 UTF-8 原文读取，尚未统一结构</x:v>
      </x:c>
      <x:c r="F23" s="175" t="str">
        <x:v>P0</x:v>
      </x:c>
      <x:c r="G23" s="175" t="str">
        <x:v>D3-D7</x:v>
      </x:c>
      <x:c r="H23" s="175" t="str">
        <x:v>部分完成</x:v>
      </x:c>
      <x:c r="I23" s="176" t="n">
        <x:f>IF(H23="✓ 已完成",1,IF(H23="部分完成",0.5,0))</x:f>
        <x:v>0.5</x:v>
      </x:c>
      <x:c r="J23" s="174" t="str">
        <x:v>三类格式均转换为 DocumentIR</x:v>
      </x:c>
    </x:row>
    <x:row r="24">
      <x:c r="A24" s="175" t="n">
        <x:v>20</x:v>
      </x:c>
      <x:c r="B24" s="174" t="str">
        <x:v>1 统一文档层</x:v>
      </x:c>
      <x:c r="C24" s="174" t="str">
        <x:v>扫描件 OCR</x:v>
      </x:c>
      <x:c r="D24" s="174" t="str">
        <x:v>覆盖不可复制文本的文档</x:v>
      </x:c>
      <x:c r="E24" s="174" t="str">
        <x:v>未实现</x:v>
      </x:c>
      <x:c r="F24" s="175" t="str">
        <x:v>P1</x:v>
      </x:c>
      <x:c r="G24" s="175" t="str">
        <x:v>D3-D7</x:v>
      </x:c>
      <x:c r="H24" s="175" t="str">
        <x:v>未开始</x:v>
      </x:c>
      <x:c r="I24" s="176" t="n">
        <x:f>IF(H24="✓ 已完成",1,IF(H24="部分完成",0.5,0))</x:f>
        <x:v>0</x:v>
      </x:c>
      <x:c r="J24" s="174" t="str">
        <x:v>OCR 文本保留页码与区域</x:v>
      </x:c>
    </x:row>
    <x:row r="25">
      <x:c r="A25" s="175" t="n">
        <x:v>21</x:v>
      </x:c>
      <x:c r="B25" s="174" t="str">
        <x:v>1 统一文档层</x:v>
      </x:c>
      <x:c r="C25" s="174" t="str">
        <x:v>DocumentIR</x:v>
      </x:c>
      <x:c r="D25" s="174" t="str">
        <x:v>让检索与 Agent 脱离文件格式</x:v>
      </x:c>
      <x:c r="E25" s="174" t="str">
        <x:v>未实现统一 block/page/table/image 模型</x:v>
      </x:c>
      <x:c r="F25" s="175" t="str">
        <x:v>P0</x:v>
      </x:c>
      <x:c r="G25" s="175" t="str">
        <x:v>D3-D7</x:v>
      </x:c>
      <x:c r="H25" s="175" t="str">
        <x:v>未开始</x:v>
      </x:c>
      <x:c r="I25" s="176" t="n">
        <x:f>IF(H25="✓ 已完成",1,IF(H25="部分完成",0.5,0))</x:f>
        <x:v>0</x:v>
      </x:c>
      <x:c r="J25" s="174" t="str">
        <x:v>全部支持格式归一化为同一契约</x:v>
      </x:c>
    </x:row>
    <x:row r="26">
      <x:c r="A26" s="175" t="n">
        <x:v>22</x:v>
      </x:c>
      <x:c r="B26" s="174" t="str">
        <x:v>1 统一文档层</x:v>
      </x:c>
      <x:c r="C26" s="174" t="str">
        <x:v>版本、去重与增量解析</x:v>
      </x:c>
      <x:c r="D26" s="174" t="str">
        <x:v>避免重复索引和知识冲突</x:v>
      </x:c>
      <x:c r="E26" s="174" t="str">
        <x:v>未实现</x:v>
      </x:c>
      <x:c r="F26" s="175" t="str">
        <x:v>P0</x:v>
      </x:c>
      <x:c r="G26" s="175" t="str">
        <x:v>D3-D7</x:v>
      </x:c>
      <x:c r="H26" s="175" t="str">
        <x:v>未开始</x:v>
      </x:c>
      <x:c r="I26" s="176" t="n">
        <x:f>IF(H26="✓ 已完成",1,IF(H26="部分完成",0.5,0))</x:f>
        <x:v>0</x:v>
      </x:c>
      <x:c r="J26" s="174" t="str">
        <x:v>重复文档不重复入库，版本可追溯</x:v>
      </x:c>
    </x:row>
    <x:row r="27">
      <x:c r="A27" s="175" t="n">
        <x:v>23</x:v>
      </x:c>
      <x:c r="B27" s="174" t="str">
        <x:v>1 统一文档层</x:v>
      </x:c>
      <x:c r="C27" s="174" t="str">
        <x:v>来源与定位元数据</x:v>
      </x:c>
      <x:c r="D27" s="174" t="str">
        <x:v>让答案可追溯原文</x:v>
      </x:c>
      <x:c r="E27" s="174" t="str">
        <x:v>已有 source 与 chunk_index；没有页码和坐标</x:v>
      </x:c>
      <x:c r="F27" s="175" t="str">
        <x:v>P0</x:v>
      </x:c>
      <x:c r="G27" s="175" t="str">
        <x:v>D3-D7</x:v>
      </x:c>
      <x:c r="H27" s="175" t="str">
        <x:v>部分完成</x:v>
      </x:c>
      <x:c r="I27" s="176" t="n">
        <x:f>IF(H27="✓ 已完成",1,IF(H27="部分完成",0.5,0))</x:f>
        <x:v>0.5</x:v>
      </x:c>
      <x:c r="J27" s="174" t="str">
        <x:v>引用可回到页码、表格或区域</x:v>
      </x:c>
    </x:row>
    <x:row r="28">
      <x:c r="A28" s="175" t="n">
        <x:v>24</x:v>
      </x:c>
      <x:c r="B28" s="174" t="str">
        <x:v>2 权限化 RAG</x:v>
      </x:c>
      <x:c r="C28" s="174" t="str">
        <x:v>本地 Embedding 服务</x:v>
      </x:c>
      <x:c r="D28" s="174" t="str">
        <x:v>提供低成本语义向量</x:v>
      </x:c>
      <x:c r="E28" s="174" t="str">
        <x:v>SentenceTransformer 懒加载与批量 encode 已实现</x:v>
      </x:c>
      <x:c r="F28" s="175" t="str">
        <x:v>P0</x:v>
      </x:c>
      <x:c r="G28" s="175" t="str">
        <x:v>D8-D11</x:v>
      </x:c>
      <x:c r="H28" s="175" t="str">
        <x:v>✓ 已完成</x:v>
      </x:c>
      <x:c r="I28" s="176" t="n">
        <x:f>IF(H28="✓ 已完成",1,IF(H28="部分完成",0.5,0))</x:f>
        <x:v>1</x:v>
      </x:c>
      <x:c r="J28" s="174" t="str">
        <x:v>文本可稳定生成归一化向量</x:v>
      </x:c>
    </x:row>
    <x:row r="29">
      <x:c r="A29" s="175" t="n">
        <x:v>25</x:v>
      </x:c>
      <x:c r="B29" s="174" t="str">
        <x:v>2 权限化 RAG</x:v>
      </x:c>
      <x:c r="C29" s="174" t="str">
        <x:v>Qdrant Collection 与 Upsert</x:v>
      </x:c>
      <x:c r="D29" s="174" t="str">
        <x:v>持久化 Chunk 向量和元数据</x:v>
      </x:c>
      <x:c r="E29" s="174" t="str">
        <x:v>启动时建 Collection，index_document 已批量 upsert</x:v>
      </x:c>
      <x:c r="F29" s="175" t="str">
        <x:v>P0</x:v>
      </x:c>
      <x:c r="G29" s="175" t="str">
        <x:v>D8-D11</x:v>
      </x:c>
      <x:c r="H29" s="175" t="str">
        <x:v>✓ 已完成</x:v>
      </x:c>
      <x:c r="I29" s="176" t="n">
        <x:f>IF(H29="✓ 已完成",1,IF(H29="部分完成",0.5,0))</x:f>
        <x:v>1</x:v>
      </x:c>
      <x:c r="J29" s="174" t="str">
        <x:v>文档可检索并保留 payload</x:v>
      </x:c>
    </x:row>
    <x:row r="30">
      <x:c r="A30" s="175" t="n">
        <x:v>26</x:v>
      </x:c>
      <x:c r="B30" s="174" t="str">
        <x:v>2 权限化 RAG</x:v>
      </x:c>
      <x:c r="C30" s="174" t="str">
        <x:v>Dense 向量检索</x:v>
      </x:c>
      <x:c r="D30" s="174" t="str">
        <x:v>建立检索基线</x:v>
      </x:c>
      <x:c r="E30" s="174" t="str">
        <x:v>search 已调用 query_points 返回 Top-K</x:v>
      </x:c>
      <x:c r="F30" s="175" t="str">
        <x:v>P0</x:v>
      </x:c>
      <x:c r="G30" s="175" t="str">
        <x:v>D8-D11</x:v>
      </x:c>
      <x:c r="H30" s="175" t="str">
        <x:v>✓ 已完成</x:v>
      </x:c>
      <x:c r="I30" s="176" t="n">
        <x:f>IF(H30="✓ 已完成",1,IF(H30="部分完成",0.5,0))</x:f>
        <x:v>1</x:v>
      </x:c>
      <x:c r="J30" s="174" t="str">
        <x:v>固定问题可返回相关 Chunk</x:v>
      </x:c>
    </x:row>
    <x:row r="31">
      <x:c r="A31" s="175" t="n">
        <x:v>27</x:v>
      </x:c>
      <x:c r="B31" s="174" t="str">
        <x:v>2 权限化 RAG</x:v>
      </x:c>
      <x:c r="C31" s="174" t="str">
        <x:v>基础引用与相似度展示</x:v>
      </x:c>
      <x:c r="D31" s="174" t="str">
        <x:v>避免黑盒回答</x:v>
      </x:c>
      <x:c r="E31" s="174" t="str">
        <x:v>RAG 返回 source、score 与文本预览，前端可展开</x:v>
      </x:c>
      <x:c r="F31" s="175" t="str">
        <x:v>P0</x:v>
      </x:c>
      <x:c r="G31" s="175" t="str">
        <x:v>D8-D11</x:v>
      </x:c>
      <x:c r="H31" s="175" t="str">
        <x:v>✓ 已完成</x:v>
      </x:c>
      <x:c r="I31" s="176" t="n">
        <x:f>IF(H31="✓ 已完成",1,IF(H31="部分完成",0.5,0))</x:f>
        <x:v>1</x:v>
      </x:c>
      <x:c r="J31" s="174" t="str">
        <x:v>回答附带来源与分数</x:v>
      </x:c>
    </x:row>
    <x:row r="32">
      <x:c r="A32" s="175" t="n">
        <x:v>28</x:v>
      </x:c>
      <x:c r="B32" s="174" t="str">
        <x:v>2 权限化 RAG</x:v>
      </x:c>
      <x:c r="C32" s="174" t="str">
        <x:v>BM25 检索</x:v>
      </x:c>
      <x:c r="D32" s="174" t="str">
        <x:v>补足关键词和精确条款召回</x:v>
      </x:c>
      <x:c r="E32" s="174" t="str">
        <x:v>未实现</x:v>
      </x:c>
      <x:c r="F32" s="175" t="str">
        <x:v>P0</x:v>
      </x:c>
      <x:c r="G32" s="175" t="str">
        <x:v>D8-D11</x:v>
      </x:c>
      <x:c r="H32" s="175" t="str">
        <x:v>未开始</x:v>
      </x:c>
      <x:c r="I32" s="176" t="n">
        <x:f>IF(H32="✓ 已完成",1,IF(H32="部分完成",0.5,0))</x:f>
        <x:v>0</x:v>
      </x:c>
      <x:c r="J32" s="174" t="str">
        <x:v>可独立输出 BM25 Top-K</x:v>
      </x:c>
    </x:row>
    <x:row r="33">
      <x:c r="A33" s="175" t="n">
        <x:v>29</x:v>
      </x:c>
      <x:c r="B33" s="174" t="str">
        <x:v>2 权限化 RAG</x:v>
      </x:c>
      <x:c r="C33" s="174" t="str">
        <x:v>RRF 混合融合</x:v>
      </x:c>
      <x:c r="D33" s="174" t="str">
        <x:v>稳定融合稠密与稀疏检索</x:v>
      </x:c>
      <x:c r="E33" s="174" t="str">
        <x:v>未实现</x:v>
      </x:c>
      <x:c r="F33" s="175" t="str">
        <x:v>P0</x:v>
      </x:c>
      <x:c r="G33" s="175" t="str">
        <x:v>D8-D11</x:v>
      </x:c>
      <x:c r="H33" s="175" t="str">
        <x:v>未开始</x:v>
      </x:c>
      <x:c r="I33" s="176" t="n">
        <x:f>IF(H33="✓ 已完成",1,IF(H33="部分完成",0.5,0))</x:f>
        <x:v>0</x:v>
      </x:c>
      <x:c r="J33" s="174" t="str">
        <x:v>Dense/BM25 结果可去重融合</x:v>
      </x:c>
    </x:row>
    <x:row r="34">
      <x:c r="A34" s="175" t="n">
        <x:v>30</x:v>
      </x:c>
      <x:c r="B34" s="174" t="str">
        <x:v>2 权限化 RAG</x:v>
      </x:c>
      <x:c r="C34" s="174" t="str">
        <x:v>Cross-Encoder Reranker</x:v>
      </x:c>
      <x:c r="D34" s="174" t="str">
        <x:v>提升最终证据排序</x:v>
      </x:c>
      <x:c r="E34" s="174" t="str">
        <x:v>未实现</x:v>
      </x:c>
      <x:c r="F34" s="175" t="str">
        <x:v>P0</x:v>
      </x:c>
      <x:c r="G34" s="175" t="str">
        <x:v>D8-D11</x:v>
      </x:c>
      <x:c r="H34" s="175" t="str">
        <x:v>未开始</x:v>
      </x:c>
      <x:c r="I34" s="176" t="n">
        <x:f>IF(H34="✓ 已完成",1,IF(H34="部分完成",0.5,0))</x:f>
        <x:v>0</x:v>
      </x:c>
      <x:c r="J34" s="174" t="str">
        <x:v>融合结果可精排并返回 Top-K</x:v>
      </x:c>
    </x:row>
    <x:row r="35">
      <x:c r="A35" s="175" t="n">
        <x:v>31</x:v>
      </x:c>
      <x:c r="B35" s="174" t="str">
        <x:v>2 权限化 RAG</x:v>
      </x:c>
      <x:c r="C35" s="174" t="str">
        <x:v>Chunk ACL 元数据</x:v>
      </x:c>
      <x:c r="D35" s="174" t="str">
        <x:v>保证知识访问边界</x:v>
      </x:c>
      <x:c r="E35" s="174" t="str">
        <x:v>当前 payload 仅 document_id/source/chunk_index/text</x:v>
      </x:c>
      <x:c r="F35" s="175" t="str">
        <x:v>P0</x:v>
      </x:c>
      <x:c r="G35" s="175" t="str">
        <x:v>D8-D11</x:v>
      </x:c>
      <x:c r="H35" s="175" t="str">
        <x:v>未开始</x:v>
      </x:c>
      <x:c r="I35" s="176" t="n">
        <x:f>IF(H35="✓ 已完成",1,IF(H35="部分完成",0.5,0))</x:f>
        <x:v>0</x:v>
      </x:c>
      <x:c r="J35" s="174" t="str">
        <x:v>每个 Chunk 携带 tenant/resource/role ACL</x:v>
      </x:c>
    </x:row>
    <x:row r="36">
      <x:c r="A36" s="175" t="n">
        <x:v>32</x:v>
      </x:c>
      <x:c r="B36" s="174" t="str">
        <x:v>2 权限化 RAG</x:v>
      </x:c>
      <x:c r="C36" s="174" t="str">
        <x:v>租户与资源过滤</x:v>
      </x:c>
      <x:c r="D36" s="174" t="str">
        <x:v>查询前过滤不可见知识</x:v>
      </x:c>
      <x:c r="E36" s="174" t="str">
        <x:v>未实现身份、租户和资源范围</x:v>
      </x:c>
      <x:c r="F36" s="175" t="str">
        <x:v>P0</x:v>
      </x:c>
      <x:c r="G36" s="175" t="str">
        <x:v>D8-D11</x:v>
      </x:c>
      <x:c r="H36" s="175" t="str">
        <x:v>未开始</x:v>
      </x:c>
      <x:c r="I36" s="176" t="n">
        <x:f>IF(H36="✓ 已完成",1,IF(H36="部分完成",0.5,0))</x:f>
        <x:v>0</x:v>
      </x:c>
      <x:c r="J36" s="174" t="str">
        <x:v>跨租户测试泄漏为 0</x:v>
      </x:c>
    </x:row>
    <x:row r="37">
      <x:c r="A37" s="175" t="n">
        <x:v>33</x:v>
      </x:c>
      <x:c r="B37" s="174" t="str">
        <x:v>2 权限化 RAG</x:v>
      </x:c>
      <x:c r="C37" s="174" t="str">
        <x:v>检索评测集</x:v>
      </x:c>
      <x:c r="D37" s="174" t="str">
        <x:v>用数据约束检索迭代</x:v>
      </x:c>
      <x:c r="E37" s="174" t="str">
        <x:v>未实现</x:v>
      </x:c>
      <x:c r="F37" s="175" t="str">
        <x:v>P0</x:v>
      </x:c>
      <x:c r="G37" s="175" t="str">
        <x:v>D8-D11</x:v>
      </x:c>
      <x:c r="H37" s="175" t="str">
        <x:v>未开始</x:v>
      </x:c>
      <x:c r="I37" s="176" t="n">
        <x:f>IF(H37="✓ 已完成",1,IF(H37="部分完成",0.5,0))</x:f>
        <x:v>0</x:v>
      </x:c>
      <x:c r="J37" s="174" t="str">
        <x:v>至少 50 条跨领域查询与相关性标注</x:v>
      </x:c>
    </x:row>
    <x:row r="38">
      <x:c r="A38" s="175" t="n">
        <x:v>34</x:v>
      </x:c>
      <x:c r="B38" s="174" t="str">
        <x:v>2 权限化 RAG</x:v>
      </x:c>
      <x:c r="C38" s="174" t="str">
        <x:v>Dense/Hybrid 对照报告</x:v>
      </x:c>
      <x:c r="D38" s="174" t="str">
        <x:v>证明混合检索带来增益</x:v>
      </x:c>
      <x:c r="E38" s="174" t="str">
        <x:v>未实现</x:v>
      </x:c>
      <x:c r="F38" s="175" t="str">
        <x:v>P0</x:v>
      </x:c>
      <x:c r="G38" s="175" t="str">
        <x:v>D8-D11</x:v>
      </x:c>
      <x:c r="H38" s="175" t="str">
        <x:v>未开始</x:v>
      </x:c>
      <x:c r="I38" s="176" t="n">
        <x:f>IF(H38="✓ 已完成",1,IF(H38="部分完成",0.5,0))</x:f>
        <x:v>0</x:v>
      </x:c>
      <x:c r="J38" s="174" t="str">
        <x:v>输出 Recall@K、MRR、NDCG 对比</x:v>
      </x:c>
    </x:row>
    <x:row r="39">
      <x:c r="A39" s="175" t="n">
        <x:v>35</x:v>
      </x:c>
      <x:c r="B39" s="174" t="str">
        <x:v>3 动态编排</x:v>
      </x:c>
      <x:c r="C39" s="174" t="str">
        <x:v>TaskRequest 与 TaskState</x:v>
      </x:c>
      <x:c r="D39" s="174" t="str">
        <x:v>统一承载目标、证据、预算和状态</x:v>
      </x:c>
      <x:c r="E39" s="174" t="str">
        <x:v>未实现</x:v>
      </x:c>
      <x:c r="F39" s="175" t="str">
        <x:v>P0</x:v>
      </x:c>
      <x:c r="G39" s="175" t="str">
        <x:v>D12-D17</x:v>
      </x:c>
      <x:c r="H39" s="175" t="str">
        <x:v>未开始</x:v>
      </x:c>
      <x:c r="I39" s="176" t="n">
        <x:f>IF(H39="✓ 已完成",1,IF(H39="部分完成",0.5,0))</x:f>
        <x:v>0</x:v>
      </x:c>
      <x:c r="J39" s="174" t="str">
        <x:v>状态 Schema 有单元测试</x:v>
      </x:c>
    </x:row>
    <x:row r="40">
      <x:c r="A40" s="175" t="n">
        <x:v>36</x:v>
      </x:c>
      <x:c r="B40" s="174" t="str">
        <x:v>3 动态编排</x:v>
      </x:c>
      <x:c r="C40" s="174" t="str">
        <x:v>Task Adapter</x:v>
      </x:c>
      <x:c r="D40" s="174" t="str">
        <x:v>把聊天、API 和 A2A 输入统一为任务</x:v>
      </x:c>
      <x:c r="E40" s="174" t="str">
        <x:v>未实现</x:v>
      </x:c>
      <x:c r="F40" s="175" t="str">
        <x:v>P0</x:v>
      </x:c>
      <x:c r="G40" s="175" t="str">
        <x:v>D12-D17</x:v>
      </x:c>
      <x:c r="H40" s="175" t="str">
        <x:v>未开始</x:v>
      </x:c>
      <x:c r="I40" s="176" t="n">
        <x:f>IF(H40="✓ 已完成",1,IF(H40="部分完成",0.5,0))</x:f>
        <x:v>0</x:v>
      </x:c>
      <x:c r="J40" s="174" t="str">
        <x:v>不同入口产生同一任务契约</x:v>
      </x:c>
    </x:row>
    <x:row r="41">
      <x:c r="A41" s="175" t="n">
        <x:v>37</x:v>
      </x:c>
      <x:c r="B41" s="174" t="str">
        <x:v>3 动态编排</x:v>
      </x:c>
      <x:c r="C41" s="174" t="str">
        <x:v>Complexity Router</x:v>
      </x:c>
      <x:c r="D41" s="174" t="str">
        <x:v>区分简单直达和复杂规划</x:v>
      </x:c>
      <x:c r="E41" s="174" t="str">
        <x:v>未实现</x:v>
      </x:c>
      <x:c r="F41" s="175" t="str">
        <x:v>P0</x:v>
      </x:c>
      <x:c r="G41" s="175" t="str">
        <x:v>D12-D17</x:v>
      </x:c>
      <x:c r="H41" s="175" t="str">
        <x:v>未开始</x:v>
      </x:c>
      <x:c r="I41" s="176" t="n">
        <x:f>IF(H41="✓ 已完成",1,IF(H41="部分完成",0.5,0))</x:f>
        <x:v>0</x:v>
      </x:c>
      <x:c r="J41" s="174" t="str">
        <x:v>固定测试集路由结果可解释</x:v>
      </x:c>
    </x:row>
    <x:row r="42">
      <x:c r="A42" s="175" t="n">
        <x:v>38</x:v>
      </x:c>
      <x:c r="B42" s="174" t="str">
        <x:v>3 动态编排</x:v>
      </x:c>
      <x:c r="C42" s="174" t="str">
        <x:v>Dynamic Planner</x:v>
      </x:c>
      <x:c r="D42" s="174" t="str">
        <x:v>按任务动态生成步骤</x:v>
      </x:c>
      <x:c r="E42" s="174" t="str">
        <x:v>未实现</x:v>
      </x:c>
      <x:c r="F42" s="175" t="str">
        <x:v>P0</x:v>
      </x:c>
      <x:c r="G42" s="175" t="str">
        <x:v>D12-D17</x:v>
      </x:c>
      <x:c r="H42" s="175" t="str">
        <x:v>未开始</x:v>
      </x:c>
      <x:c r="I42" s="176" t="n">
        <x:f>IF(H42="✓ 已完成",1,IF(H42="部分完成",0.5,0))</x:f>
        <x:v>0</x:v>
      </x:c>
      <x:c r="J42" s="174" t="str">
        <x:v>计划满足结构化 Schema</x:v>
      </x:c>
    </x:row>
    <x:row r="43">
      <x:c r="A43" s="175" t="n">
        <x:v>39</x:v>
      </x:c>
      <x:c r="B43" s="174" t="str">
        <x:v>3 动态编排</x:v>
      </x:c>
      <x:c r="C43" s="174" t="str">
        <x:v>Budget Controller</x:v>
      </x:c>
      <x:c r="D43" s="174" t="str">
        <x:v>限制步骤、时间、Token、成本和重规划</x:v>
      </x:c>
      <x:c r="E43" s="174" t="str">
        <x:v>未实现</x:v>
      </x:c>
      <x:c r="F43" s="175" t="str">
        <x:v>P0</x:v>
      </x:c>
      <x:c r="G43" s="175" t="str">
        <x:v>D12-D17</x:v>
      </x:c>
      <x:c r="H43" s="175" t="str">
        <x:v>未开始</x:v>
      </x:c>
      <x:c r="I43" s="176" t="n">
        <x:f>IF(H43="✓ 已完成",1,IF(H43="部分完成",0.5,0))</x:f>
        <x:v>0</x:v>
      </x:c>
      <x:c r="J43" s="174" t="str">
        <x:v>达到预算后确定性停止</x:v>
      </x:c>
    </x:row>
    <x:row r="44">
      <x:c r="A44" s="175" t="n">
        <x:v>40</x:v>
      </x:c>
      <x:c r="B44" s="174" t="str">
        <x:v>3 动态编排</x:v>
      </x:c>
      <x:c r="C44" s="174" t="str">
        <x:v>Dispatcher 与专家池接口</x:v>
      </x:c>
      <x:c r="D44" s="174" t="str">
        <x:v>按需调用 Retrieval/Analysis/Tool/Remote</x:v>
      </x:c>
      <x:c r="E44" s="174" t="str">
        <x:v>未实现</x:v>
      </x:c>
      <x:c r="F44" s="175" t="str">
        <x:v>P0</x:v>
      </x:c>
      <x:c r="G44" s="175" t="str">
        <x:v>D12-D17</x:v>
      </x:c>
      <x:c r="H44" s="175" t="str">
        <x:v>未开始</x:v>
      </x:c>
      <x:c r="I44" s="176" t="n">
        <x:f>IF(H44="✓ 已完成",1,IF(H44="部分完成",0.5,0))</x:f>
        <x:v>0</x:v>
      </x:c>
      <x:c r="J44" s="174" t="str">
        <x:v>专家能力均通过 CapabilitySpec 注册</x:v>
      </x:c>
    </x:row>
    <x:row r="45">
      <x:c r="A45" s="175" t="n">
        <x:v>41</x:v>
      </x:c>
      <x:c r="B45" s="174" t="str">
        <x:v>3 动态编排</x:v>
      </x:c>
      <x:c r="C45" s="174" t="str">
        <x:v>Aggregator 与 Outcome Judge</x:v>
      </x:c>
      <x:c r="D45" s="174" t="str">
        <x:v>汇总证据并决定完成或重规划</x:v>
      </x:c>
      <x:c r="E45" s="174" t="str">
        <x:v>未实现</x:v>
      </x:c>
      <x:c r="F45" s="175" t="str">
        <x:v>P0</x:v>
      </x:c>
      <x:c r="G45" s="175" t="str">
        <x:v>D12-D17</x:v>
      </x:c>
      <x:c r="H45" s="175" t="str">
        <x:v>未开始</x:v>
      </x:c>
      <x:c r="I45" s="176" t="n">
        <x:f>IF(H45="✓ 已完成",1,IF(H45="部分完成",0.5,0))</x:f>
        <x:v>0</x:v>
      </x:c>
      <x:c r="J45" s="174" t="str">
        <x:v>无证据时拒绝生成确定性结论</x:v>
      </x:c>
    </x:row>
    <x:row r="46">
      <x:c r="A46" s="175" t="n">
        <x:v>42</x:v>
      </x:c>
      <x:c r="B46" s="174" t="str">
        <x:v>3 动态编排</x:v>
      </x:c>
      <x:c r="C46" s="174" t="str">
        <x:v>SSE 流式事件</x:v>
      </x:c>
      <x:c r="D46" s="174" t="str">
        <x:v>让任务执行过程可观察</x:v>
      </x:c>
      <x:c r="E46" s="174" t="str">
        <x:v>前端和后端尚无 SSE</x:v>
      </x:c>
      <x:c r="F46" s="175" t="str">
        <x:v>P0</x:v>
      </x:c>
      <x:c r="G46" s="175" t="str">
        <x:v>D12-D17</x:v>
      </x:c>
      <x:c r="H46" s="175" t="str">
        <x:v>未开始</x:v>
      </x:c>
      <x:c r="I46" s="176" t="n">
        <x:f>IF(H46="✓ 已完成",1,IF(H46="部分完成",0.5,0))</x:f>
        <x:v>0</x:v>
      </x:c>
      <x:c r="J46" s="174" t="str">
        <x:v>节点开始/结束/等待审批均产生事件</x:v>
      </x:c>
    </x:row>
    <x:row r="47">
      <x:c r="A47" s="175" t="n">
        <x:v>43</x:v>
      </x:c>
      <x:c r="B47" s="174" t="str">
        <x:v>3 动态编排</x:v>
      </x:c>
      <x:c r="C47" s="174" t="str">
        <x:v>PostgreSQL Checkpoint</x:v>
      </x:c>
      <x:c r="D47" s="174" t="str">
        <x:v>支持暂停和故障恢复</x:v>
      </x:c>
      <x:c r="E47" s="174" t="str">
        <x:v>未实现</x:v>
      </x:c>
      <x:c r="F47" s="175" t="str">
        <x:v>P0</x:v>
      </x:c>
      <x:c r="G47" s="175" t="str">
        <x:v>D12-D17</x:v>
      </x:c>
      <x:c r="H47" s="175" t="str">
        <x:v>未开始</x:v>
      </x:c>
      <x:c r="I47" s="176" t="n">
        <x:f>IF(H47="✓ 已完成",1,IF(H47="部分完成",0.5,0))</x:f>
        <x:v>0</x:v>
      </x:c>
      <x:c r="J47" s="174" t="str">
        <x:v>进程重启后可从最近节点恢复</x:v>
      </x:c>
    </x:row>
    <x:row r="48">
      <x:c r="A48" s="175" t="n">
        <x:v>44</x:v>
      </x:c>
      <x:c r="B48" s="174" t="str">
        <x:v>3 动态编排</x:v>
      </x:c>
      <x:c r="C48" s="174" t="str">
        <x:v>取消、单步重试和部分成功</x:v>
      </x:c>
      <x:c r="D48" s="174" t="str">
        <x:v>提高长任务韧性</x:v>
      </x:c>
      <x:c r="E48" s="174" t="str">
        <x:v>未实现</x:v>
      </x:c>
      <x:c r="F48" s="175" t="str">
        <x:v>P1</x:v>
      </x:c>
      <x:c r="G48" s="175" t="str">
        <x:v>D12-D17</x:v>
      </x:c>
      <x:c r="H48" s="175" t="str">
        <x:v>未开始</x:v>
      </x:c>
      <x:c r="I48" s="176" t="n">
        <x:f>IF(H48="✓ 已完成",1,IF(H48="部分完成",0.5,0))</x:f>
        <x:v>0</x:v>
      </x:c>
      <x:c r="J48" s="174" t="str">
        <x:v>失败步骤可重试且不丢已完成结果</x:v>
      </x:c>
    </x:row>
    <x:row r="49">
      <x:c r="A49" s="175" t="n">
        <x:v>45</x:v>
      </x:c>
      <x:c r="B49" s="174" t="str">
        <x:v>4 安全能力层</x:v>
      </x:c>
      <x:c r="C49" s="174" t="str">
        <x:v>Capability Registry</x:v>
      </x:c>
      <x:c r="D49" s="174" t="str">
        <x:v>统一登记内部能力、MCP 和 A2A</x:v>
      </x:c>
      <x:c r="E49" s="174" t="str">
        <x:v>未实现</x:v>
      </x:c>
      <x:c r="F49" s="175" t="str">
        <x:v>P0</x:v>
      </x:c>
      <x:c r="G49" s="175" t="str">
        <x:v>D18-D22</x:v>
      </x:c>
      <x:c r="H49" s="175" t="str">
        <x:v>未开始</x:v>
      </x:c>
      <x:c r="I49" s="176" t="n">
        <x:f>IF(H49="✓ 已完成",1,IF(H49="部分完成",0.5,0))</x:f>
        <x:v>0</x:v>
      </x:c>
      <x:c r="J49" s="174" t="str">
        <x:v>能力包含描述、Schema、风险和执行器</x:v>
      </x:c>
    </x:row>
    <x:row r="50">
      <x:c r="A50" s="175" t="n">
        <x:v>46</x:v>
      </x:c>
      <x:c r="B50" s="174" t="str">
        <x:v>4 安全能力层</x:v>
      </x:c>
      <x:c r="C50" s="174" t="str">
        <x:v>JSON Schema 校验</x:v>
      </x:c>
      <x:c r="D50" s="174" t="str">
        <x:v>阻止畸形工具参数进入执行层</x:v>
      </x:c>
      <x:c r="E50" s="174" t="str">
        <x:v>未实现</x:v>
      </x:c>
      <x:c r="F50" s="175" t="str">
        <x:v>P0</x:v>
      </x:c>
      <x:c r="G50" s="175" t="str">
        <x:v>D18-D22</x:v>
      </x:c>
      <x:c r="H50" s="175" t="str">
        <x:v>未开始</x:v>
      </x:c>
      <x:c r="I50" s="176" t="n">
        <x:f>IF(H50="✓ 已完成",1,IF(H50="部分完成",0.5,0))</x:f>
        <x:v>0</x:v>
      </x:c>
      <x:c r="J50" s="174" t="str">
        <x:v>非法类型和缺失参数全部拦截</x:v>
      </x:c>
    </x:row>
    <x:row r="51">
      <x:c r="A51" s="175" t="n">
        <x:v>47</x:v>
      </x:c>
      <x:c r="B51" s="174" t="str">
        <x:v>4 安全能力层</x:v>
      </x:c>
      <x:c r="C51" s="174" t="str">
        <x:v>风险分级</x:v>
      </x:c>
      <x:c r="D51" s="174" t="str">
        <x:v>区分只读、敏感和危险能力</x:v>
      </x:c>
      <x:c r="E51" s="174" t="str">
        <x:v>未实现</x:v>
      </x:c>
      <x:c r="F51" s="175" t="str">
        <x:v>P0</x:v>
      </x:c>
      <x:c r="G51" s="175" t="str">
        <x:v>D18-D22</x:v>
      </x:c>
      <x:c r="H51" s="175" t="str">
        <x:v>未开始</x:v>
      </x:c>
      <x:c r="I51" s="176" t="n">
        <x:f>IF(H51="✓ 已完成",1,IF(H51="部分完成",0.5,0))</x:f>
        <x:v>0</x:v>
      </x:c>
      <x:c r="J51" s="174" t="str">
        <x:v>每个能力都有明确风险等级</x:v>
      </x:c>
    </x:row>
    <x:row r="52">
      <x:c r="A52" s="175" t="n">
        <x:v>48</x:v>
      </x:c>
      <x:c r="B52" s="174" t="str">
        <x:v>4 安全能力层</x:v>
      </x:c>
      <x:c r="C52" s="174" t="str">
        <x:v>参数级白名单</x:v>
      </x:c>
      <x:c r="D52" s="174" t="str">
        <x:v>限制模型可操作的资源范围</x:v>
      </x:c>
      <x:c r="E52" s="174" t="str">
        <x:v>未实现</x:v>
      </x:c>
      <x:c r="F52" s="175" t="str">
        <x:v>P0</x:v>
      </x:c>
      <x:c r="G52" s="175" t="str">
        <x:v>D18-D22</x:v>
      </x:c>
      <x:c r="H52" s="175" t="str">
        <x:v>未开始</x:v>
      </x:c>
      <x:c r="I52" s="176" t="n">
        <x:f>IF(H52="✓ 已完成",1,IF(H52="部分完成",0.5,0))</x:f>
        <x:v>0</x:v>
      </x:c>
      <x:c r="J52" s="174" t="str">
        <x:v>越界资源和危险参数全部拒绝</x:v>
      </x:c>
    </x:row>
    <x:row r="53">
      <x:c r="A53" s="175" t="n">
        <x:v>49</x:v>
      </x:c>
      <x:c r="B53" s="174" t="str">
        <x:v>4 安全能力层</x:v>
      </x:c>
      <x:c r="C53" s="174" t="str">
        <x:v>Policy 决策</x:v>
      </x:c>
      <x:c r="D53" s="174" t="str">
        <x:v>确定性输出 ALLOW/APPROVAL/DENY</x:v>
      </x:c>
      <x:c r="E53" s="174" t="str">
        <x:v>未实现</x:v>
      </x:c>
      <x:c r="F53" s="175" t="str">
        <x:v>P0</x:v>
      </x:c>
      <x:c r="G53" s="175" t="str">
        <x:v>D18-D22</x:v>
      </x:c>
      <x:c r="H53" s="175" t="str">
        <x:v>未开始</x:v>
      </x:c>
      <x:c r="I53" s="176" t="n">
        <x:f>IF(H53="✓ 已完成",1,IF(H53="部分完成",0.5,0))</x:f>
        <x:v>0</x:v>
      </x:c>
      <x:c r="J53" s="174" t="str">
        <x:v>模型无法覆盖策略结果</x:v>
      </x:c>
    </x:row>
    <x:row r="54">
      <x:c r="A54" s="175" t="n">
        <x:v>50</x:v>
      </x:c>
      <x:c r="B54" s="174" t="str">
        <x:v>4 安全能力层</x:v>
      </x:c>
      <x:c r="C54" s="174" t="str">
        <x:v>人工审批与恢复</x:v>
      </x:c>
      <x:c r="D54" s="174" t="str">
        <x:v>控制有副作用的企业操作</x:v>
      </x:c>
      <x:c r="E54" s="174" t="str">
        <x:v>管理页仅有占位内容</x:v>
      </x:c>
      <x:c r="F54" s="175" t="str">
        <x:v>P0</x:v>
      </x:c>
      <x:c r="G54" s="175" t="str">
        <x:v>D18-D22</x:v>
      </x:c>
      <x:c r="H54" s="175" t="str">
        <x:v>未开始</x:v>
      </x:c>
      <x:c r="I54" s="176" t="n">
        <x:f>IF(H54="✓ 已完成",1,IF(H54="部分完成",0.5,0))</x:f>
        <x:v>0</x:v>
      </x:c>
      <x:c r="J54" s="174" t="str">
        <x:v>审批通过后从 Checkpoint 继续</x:v>
      </x:c>
    </x:row>
    <x:row r="55">
      <x:c r="A55" s="175" t="n">
        <x:v>51</x:v>
      </x:c>
      <x:c r="B55" s="174" t="str">
        <x:v>4 安全能力层</x:v>
      </x:c>
      <x:c r="C55" s="174" t="str">
        <x:v>幂等键与副作用记录</x:v>
      </x:c>
      <x:c r="D55" s="174" t="str">
        <x:v>避免恢复或重试造成重复操作</x:v>
      </x:c>
      <x:c r="E55" s="174" t="str">
        <x:v>未实现</x:v>
      </x:c>
      <x:c r="F55" s="175" t="str">
        <x:v>P0</x:v>
      </x:c>
      <x:c r="G55" s="175" t="str">
        <x:v>D18-D22</x:v>
      </x:c>
      <x:c r="H55" s="175" t="str">
        <x:v>未开始</x:v>
      </x:c>
      <x:c r="I55" s="176" t="n">
        <x:f>IF(H55="✓ 已完成",1,IF(H55="部分完成",0.5,0))</x:f>
        <x:v>0</x:v>
      </x:c>
      <x:c r="J55" s="174" t="str">
        <x:v>同一幂等键只产生一次副作用</x:v>
      </x:c>
    </x:row>
    <x:row r="56">
      <x:c r="A56" s="175" t="n">
        <x:v>52</x:v>
      </x:c>
      <x:c r="B56" s="174" t="str">
        <x:v>4 安全能力层</x:v>
      </x:c>
      <x:c r="C56" s="174" t="str">
        <x:v>本地沙箱与输出检查</x:v>
      </x:c>
      <x:c r="D56" s="174" t="str">
        <x:v>隔离工具异常并过滤不可信输出</x:v>
      </x:c>
      <x:c r="E56" s="174" t="str">
        <x:v>未实现</x:v>
      </x:c>
      <x:c r="F56" s="175" t="str">
        <x:v>P1</x:v>
      </x:c>
      <x:c r="G56" s="175" t="str">
        <x:v>D18-D22</x:v>
      </x:c>
      <x:c r="H56" s="175" t="str">
        <x:v>未开始</x:v>
      </x:c>
      <x:c r="I56" s="176" t="n">
        <x:f>IF(H56="✓ 已完成",1,IF(H56="部分完成",0.5,0))</x:f>
        <x:v>0</x:v>
      </x:c>
      <x:c r="J56" s="174" t="str">
        <x:v>工具超时、越权和危险输出被阻断</x:v>
      </x:c>
    </x:row>
    <x:row r="57">
      <x:c r="A57" s="175" t="n">
        <x:v>53</x:v>
      </x:c>
      <x:c r="B57" s="174" t="str">
        <x:v>4 安全能力层</x:v>
      </x:c>
      <x:c r="C57" s="174" t="str">
        <x:v>通用知识检索能力</x:v>
      </x:c>
      <x:c r="D57" s="174" t="str">
        <x:v>把现有 RAG 封装为可调度能力</x:v>
      </x:c>
      <x:c r="E57" s="174" t="str">
        <x:v>已有 RAG API，但没有 CapabilitySpec</x:v>
      </x:c>
      <x:c r="F57" s="175" t="str">
        <x:v>P0</x:v>
      </x:c>
      <x:c r="G57" s="175" t="str">
        <x:v>D18-D22</x:v>
      </x:c>
      <x:c r="H57" s="175" t="str">
        <x:v>部分完成</x:v>
      </x:c>
      <x:c r="I57" s="176" t="n">
        <x:f>IF(H57="✓ 已完成",1,IF(H57="部分完成",0.5,0))</x:f>
        <x:v>0.5</x:v>
      </x:c>
      <x:c r="J57" s="174" t="str">
        <x:v>Dispatcher 可通过能力接口调用 RAG</x:v>
      </x:c>
    </x:row>
    <x:row r="58">
      <x:c r="A58" s="175" t="n">
        <x:v>54</x:v>
      </x:c>
      <x:c r="B58" s="174" t="str">
        <x:v>5 MCP 闭环</x:v>
      </x:c>
      <x:c r="C58" s="174" t="str">
        <x:v>真实 MCP Server</x:v>
      </x:c>
      <x:c r="D58" s="174" t="str">
        <x:v>以标准协议暴露工具能力</x:v>
      </x:c>
      <x:c r="E58" s="174" t="str">
        <x:v>未实现</x:v>
      </x:c>
      <x:c r="F58" s="175" t="str">
        <x:v>P0</x:v>
      </x:c>
      <x:c r="G58" s="175" t="str">
        <x:v>D23-D25</x:v>
      </x:c>
      <x:c r="H58" s="175" t="str">
        <x:v>未开始</x:v>
      </x:c>
      <x:c r="I58" s="176" t="n">
        <x:f>IF(H58="✓ 已完成",1,IF(H58="部分完成",0.5,0))</x:f>
        <x:v>0</x:v>
      </x:c>
      <x:c r="J58" s="174" t="str">
        <x:v>Server 支持初始化、列举和调用</x:v>
      </x:c>
    </x:row>
    <x:row r="59">
      <x:c r="A59" s="175" t="n">
        <x:v>55</x:v>
      </x:c>
      <x:c r="B59" s="174" t="str">
        <x:v>5 MCP 闭环</x:v>
      </x:c>
      <x:c r="C59" s="174" t="str">
        <x:v>MCP Client Manager</x:v>
      </x:c>
      <x:c r="D59" s="174" t="str">
        <x:v>管理连接、会话与调用</x:v>
      </x:c>
      <x:c r="E59" s="174" t="str">
        <x:v>未实现</x:v>
      </x:c>
      <x:c r="F59" s="175" t="str">
        <x:v>P0</x:v>
      </x:c>
      <x:c r="G59" s="175" t="str">
        <x:v>D23-D25</x:v>
      </x:c>
      <x:c r="H59" s="175" t="str">
        <x:v>未开始</x:v>
      </x:c>
      <x:c r="I59" s="176" t="n">
        <x:f>IF(H59="✓ 已完成",1,IF(H59="部分完成",0.5,0))</x:f>
        <x:v>0</x:v>
      </x:c>
      <x:c r="J59" s="174" t="str">
        <x:v>客户端可管理独立 Session</x:v>
      </x:c>
    </x:row>
    <x:row r="60">
      <x:c r="A60" s="175" t="n">
        <x:v>56</x:v>
      </x:c>
      <x:c r="B60" s="174" t="str">
        <x:v>5 MCP 闭环</x:v>
      </x:c>
      <x:c r="C60" s="174" t="str">
        <x:v>认证与会话隔离</x:v>
      </x:c>
      <x:c r="D60" s="174" t="str">
        <x:v>防止跨用户复用权限</x:v>
      </x:c>
      <x:c r="E60" s="174" t="str">
        <x:v>未实现</x:v>
      </x:c>
      <x:c r="F60" s="175" t="str">
        <x:v>P0</x:v>
      </x:c>
      <x:c r="G60" s="175" t="str">
        <x:v>D23-D25</x:v>
      </x:c>
      <x:c r="H60" s="175" t="str">
        <x:v>未开始</x:v>
      </x:c>
      <x:c r="I60" s="176" t="n">
        <x:f>IF(H60="✓ 已完成",1,IF(H60="部分完成",0.5,0))</x:f>
        <x:v>0</x:v>
      </x:c>
      <x:c r="J60" s="174" t="str">
        <x:v>每个任务使用独立授权上下文</x:v>
      </x:c>
    </x:row>
    <x:row r="61">
      <x:c r="A61" s="175" t="n">
        <x:v>57</x:v>
      </x:c>
      <x:c r="B61" s="174" t="str">
        <x:v>5 MCP 闭环</x:v>
      </x:c>
      <x:c r="C61" s="174" t="str">
        <x:v>auth/init/list/call 流程</x:v>
      </x:c>
      <x:c r="D61" s="174" t="str">
        <x:v>完成真实协议闭环</x:v>
      </x:c>
      <x:c r="E61" s="174" t="str">
        <x:v>未实现</x:v>
      </x:c>
      <x:c r="F61" s="175" t="str">
        <x:v>P0</x:v>
      </x:c>
      <x:c r="G61" s="175" t="str">
        <x:v>D23-D25</x:v>
      </x:c>
      <x:c r="H61" s="175" t="str">
        <x:v>未开始</x:v>
      </x:c>
      <x:c r="I61" s="176" t="n">
        <x:f>IF(H61="✓ 已完成",1,IF(H61="部分完成",0.5,0))</x:f>
        <x:v>0</x:v>
      </x:c>
      <x:c r="J61" s="174" t="str">
        <x:v>端到端协议测试通过</x:v>
      </x:c>
    </x:row>
    <x:row r="62">
      <x:c r="A62" s="175" t="n">
        <x:v>58</x:v>
      </x:c>
      <x:c r="B62" s="174" t="str">
        <x:v>5 MCP 闭环</x:v>
      </x:c>
      <x:c r="C62" s="174" t="str">
        <x:v>超时、重试与熔断</x:v>
      </x:c>
      <x:c r="D62" s="174" t="str">
        <x:v>避免单工具阻塞任务</x:v>
      </x:c>
      <x:c r="E62" s="174" t="str">
        <x:v>未实现</x:v>
      </x:c>
      <x:c r="F62" s="175" t="str">
        <x:v>P1</x:v>
      </x:c>
      <x:c r="G62" s="175" t="str">
        <x:v>D23-D25</x:v>
      </x:c>
      <x:c r="H62" s="175" t="str">
        <x:v>未开始</x:v>
      </x:c>
      <x:c r="I62" s="176" t="n">
        <x:f>IF(H62="✓ 已完成",1,IF(H62="部分完成",0.5,0))</x:f>
        <x:v>0</x:v>
      </x:c>
      <x:c r="J62" s="174" t="str">
        <x:v>故障工具不会拖死主任务</x:v>
      </x:c>
    </x:row>
    <x:row r="63">
      <x:c r="A63" s="175" t="n">
        <x:v>59</x:v>
      </x:c>
      <x:c r="B63" s="174" t="str">
        <x:v>5 MCP 闭环</x:v>
      </x:c>
      <x:c r="C63" s="174" t="str">
        <x:v>禁止绕过 Policy</x:v>
      </x:c>
      <x:c r="D63" s="174" t="str">
        <x:v>确保副作用必经安全链</x:v>
      </x:c>
      <x:c r="E63" s="174" t="str">
        <x:v>未实现</x:v>
      </x:c>
      <x:c r="F63" s="175" t="str">
        <x:v>P0</x:v>
      </x:c>
      <x:c r="G63" s="175" t="str">
        <x:v>D23-D25</x:v>
      </x:c>
      <x:c r="H63" s="175" t="str">
        <x:v>未开始</x:v>
      </x:c>
      <x:c r="I63" s="176" t="n">
        <x:f>IF(H63="✓ 已完成",1,IF(H63="部分完成",0.5,0))</x:f>
        <x:v>0</x:v>
      </x:c>
      <x:c r="J63" s="174" t="str">
        <x:v>工具只有 Policy 后路径可达</x:v>
      </x:c>
    </x:row>
    <x:row r="64">
      <x:c r="A64" s="175" t="n">
        <x:v>60</x:v>
      </x:c>
      <x:c r="B64" s="174" t="str">
        <x:v>6 小模型后训练</x:v>
      </x:c>
      <x:c r="C64" s="174" t="str">
        <x:v>WSL CUDA/PyTorch 环境修复</x:v>
      </x:c>
      <x:c r="D64" s="174" t="str">
        <x:v>让 8GB GPU 可执行 QLoRA</x:v>
      </x:c>
      <x:c r="E64" s="174" t="str">
        <x:v>此前检测到驱动与 PyTorch CUDA 不匹配</x:v>
      </x:c>
      <x:c r="F64" s="175" t="str">
        <x:v>P0</x:v>
      </x:c>
      <x:c r="G64" s="175" t="str">
        <x:v>D26-D30</x:v>
      </x:c>
      <x:c r="H64" s="175" t="str">
        <x:v>未开始</x:v>
      </x:c>
      <x:c r="I64" s="176" t="n">
        <x:f>IF(H64="✓ 已完成",1,IF(H64="部分完成",0.5,0))</x:f>
        <x:v>0</x:v>
      </x:c>
      <x:c r="J64" s="174" t="str">
        <x:v>torch.cuda.is_available() 为 True</x:v>
      </x:c>
    </x:row>
    <x:row r="65">
      <x:c r="A65" s="175" t="n">
        <x:v>61</x:v>
      </x:c>
      <x:c r="B65" s="174" t="str">
        <x:v>6 小模型后训练</x:v>
      </x:c>
      <x:c r="C65" s="174" t="str">
        <x:v>ToolACE 数据审计与清洗</x:v>
      </x:c>
      <x:c r="D65" s="174" t="str">
        <x:v>建立可信公开训练输入</x:v>
      </x:c>
      <x:c r="E65" s="174" t="str">
        <x:v>未执行</x:v>
      </x:c>
      <x:c r="F65" s="175" t="str">
        <x:v>P0</x:v>
      </x:c>
      <x:c r="G65" s="175" t="str">
        <x:v>D26-D30</x:v>
      </x:c>
      <x:c r="H65" s="175" t="str">
        <x:v>未开始</x:v>
      </x:c>
      <x:c r="I65" s="176" t="n">
        <x:f>IF(H65="✓ 已完成",1,IF(H65="部分完成",0.5,0))</x:f>
        <x:v>0</x:v>
      </x:c>
      <x:c r="J65" s="174" t="str">
        <x:v>统计工具、参数、NO_TOOL 和长度分布</x:v>
      </x:c>
    </x:row>
    <x:row r="66">
      <x:c r="A66" s="175" t="n">
        <x:v>62</x:v>
      </x:c>
      <x:c r="B66" s="174" t="str">
        <x:v>6 小模型后训练</x:v>
      </x:c>
      <x:c r="C66" s="174" t="str">
        <x:v>Qwen2.5-1.5B 基线评测</x:v>
      </x:c>
      <x:c r="D66" s="174" t="str">
        <x:v>建立训练前对照</x:v>
      </x:c>
      <x:c r="E66" s="174" t="str">
        <x:v>未执行</x:v>
      </x:c>
      <x:c r="F66" s="175" t="str">
        <x:v>P0</x:v>
      </x:c>
      <x:c r="G66" s="175" t="str">
        <x:v>D26-D30</x:v>
      </x:c>
      <x:c r="H66" s="175" t="str">
        <x:v>未开始</x:v>
      </x:c>
      <x:c r="I66" s="176" t="n">
        <x:f>IF(H66="✓ 已完成",1,IF(H66="部分完成",0.5,0))</x:f>
        <x:v>0</x:v>
      </x:c>
      <x:c r="J66" s="174" t="str">
        <x:v>保存固定配置与完整结果</x:v>
      </x:c>
    </x:row>
    <x:row r="67">
      <x:c r="A67" s="175" t="n">
        <x:v>63</x:v>
      </x:c>
      <x:c r="B67" s="174" t="str">
        <x:v>6 小模型后训练</x:v>
      </x:c>
      <x:c r="C67" s="174" t="str">
        <x:v>6K-8K QLoRA-SFT</x:v>
      </x:c>
      <x:c r="D67" s="174" t="str">
        <x:v>增强工具相关性判断、选择和参数生成</x:v>
      </x:c>
      <x:c r="E67" s="174" t="str">
        <x:v>未执行</x:v>
      </x:c>
      <x:c r="F67" s="175" t="str">
        <x:v>P0</x:v>
      </x:c>
      <x:c r="G67" s="175" t="str">
        <x:v>D26-D30</x:v>
      </x:c>
      <x:c r="H67" s="175" t="str">
        <x:v>未开始</x:v>
      </x:c>
      <x:c r="I67" s="176" t="n">
        <x:f>IF(H67="✓ 已完成",1,IF(H67="部分完成",0.5,0))</x:f>
        <x:v>0</x:v>
      </x:c>
      <x:c r="J67" s="174" t="str">
        <x:v>训练可复现并保存 Adapter</x:v>
      </x:c>
    </x:row>
    <x:row r="68">
      <x:c r="A68" s="175" t="n">
        <x:v>64</x:v>
      </x:c>
      <x:c r="B68" s="174" t="str">
        <x:v>6 小模型后训练</x:v>
      </x:c>
      <x:c r="C68" s="174" t="str">
        <x:v>BFCL 独立评测</x:v>
      </x:c>
      <x:c r="D68" s="174" t="str">
        <x:v>避免自建数据自证</x:v>
      </x:c>
      <x:c r="E68" s="174" t="str">
        <x:v>未执行</x:v>
      </x:c>
      <x:c r="F68" s="175" t="str">
        <x:v>P0</x:v>
      </x:c>
      <x:c r="G68" s="175" t="str">
        <x:v>D26-D30</x:v>
      </x:c>
      <x:c r="H68" s="175" t="str">
        <x:v>未开始</x:v>
      </x:c>
      <x:c r="I68" s="176" t="n">
        <x:f>IF(H68="✓ 已完成",1,IF(H68="部分完成",0.5,0))</x:f>
        <x:v>0</x:v>
      </x:c>
      <x:c r="J68" s="174" t="str">
        <x:v>测试集不进入训练并输出分类结果</x:v>
      </x:c>
    </x:row>
    <x:row r="69">
      <x:c r="A69" s="175" t="n">
        <x:v>65</x:v>
      </x:c>
      <x:c r="B69" s="174" t="str">
        <x:v>6 小模型后训练</x:v>
      </x:c>
      <x:c r="C69" s="174" t="str">
        <x:v>接入 Dispatcher</x:v>
      </x:c>
      <x:c r="D69" s="174" t="str">
        <x:v>让小模型承担低成本工具路由</x:v>
      </x:c>
      <x:c r="E69" s="174" t="str">
        <x:v>未实现</x:v>
      </x:c>
      <x:c r="F69" s="175" t="str">
        <x:v>P0</x:v>
      </x:c>
      <x:c r="G69" s="175" t="str">
        <x:v>D26-D30</x:v>
      </x:c>
      <x:c r="H69" s="175" t="str">
        <x:v>未开始</x:v>
      </x:c>
      <x:c r="I69" s="176" t="n">
        <x:f>IF(H69="✓ 已完成",1,IF(H69="部分完成",0.5,0))</x:f>
        <x:v>0</x:v>
      </x:c>
      <x:c r="J69" s="174" t="str">
        <x:v>输出仅限 TOOL_CALL/NO_TOOL 与参数</x:v>
      </x:c>
    </x:row>
    <x:row r="70">
      <x:c r="A70" s="175" t="n">
        <x:v>66</x:v>
      </x:c>
      <x:c r="B70" s="174" t="str">
        <x:v>6 小模型后训练</x:v>
      </x:c>
      <x:c r="C70" s="174" t="str">
        <x:v>成本与延迟对照</x:v>
      </x:c>
      <x:c r="D70" s="174" t="str">
        <x:v>量化小模型的工程价值</x:v>
      </x:c>
      <x:c r="E70" s="174" t="str">
        <x:v>未执行</x:v>
      </x:c>
      <x:c r="F70" s="175" t="str">
        <x:v>P0</x:v>
      </x:c>
      <x:c r="G70" s="175" t="str">
        <x:v>D26-D30</x:v>
      </x:c>
      <x:c r="H70" s="175" t="str">
        <x:v>未开始</x:v>
      </x:c>
      <x:c r="I70" s="176" t="n">
        <x:f>IF(H70="✓ 已完成",1,IF(H70="部分完成",0.5,0))</x:f>
        <x:v>0</x:v>
      </x:c>
      <x:c r="J70" s="174" t="str">
        <x:v>报告 P50/P95 延迟、显存和外部调用节省</x:v>
      </x:c>
    </x:row>
    <x:row r="71">
      <x:c r="A71" s="175" t="n">
        <x:v>67</x:v>
      </x:c>
      <x:c r="B71" s="174" t="str">
        <x:v>7 A2A 闭环</x:v>
      </x:c>
      <x:c r="C71" s="174" t="str">
        <x:v>A2A Server Adapter</x:v>
      </x:c>
      <x:c r="D71" s="174" t="str">
        <x:v>统一外部 Agent 接入</x:v>
      </x:c>
      <x:c r="E71" s="174" t="str">
        <x:v>未实现</x:v>
      </x:c>
      <x:c r="F71" s="175" t="str">
        <x:v>P1</x:v>
      </x:c>
      <x:c r="G71" s="175" t="str">
        <x:v>D31-D33</x:v>
      </x:c>
      <x:c r="H71" s="175" t="str">
        <x:v>未开始</x:v>
      </x:c>
      <x:c r="I71" s="176" t="n">
        <x:f>IF(H71="✓ 已完成",1,IF(H71="部分完成",0.5,0))</x:f>
        <x:v>0</x:v>
      </x:c>
      <x:c r="J71" s="174" t="str">
        <x:v>本地 Agent 可接收外部任务</x:v>
      </x:c>
    </x:row>
    <x:row r="72">
      <x:c r="A72" s="175" t="n">
        <x:v>68</x:v>
      </x:c>
      <x:c r="B72" s="174" t="str">
        <x:v>7 A2A 闭环</x:v>
      </x:c>
      <x:c r="C72" s="174" t="str">
        <x:v>Agent Card</x:v>
      </x:c>
      <x:c r="D72" s="174" t="str">
        <x:v>声明能力和协议元数据</x:v>
      </x:c>
      <x:c r="E72" s="174" t="str">
        <x:v>未实现</x:v>
      </x:c>
      <x:c r="F72" s="175" t="str">
        <x:v>P1</x:v>
      </x:c>
      <x:c r="G72" s="175" t="str">
        <x:v>D31-D33</x:v>
      </x:c>
      <x:c r="H72" s="175" t="str">
        <x:v>未开始</x:v>
      </x:c>
      <x:c r="I72" s="176" t="n">
        <x:f>IF(H72="✓ 已完成",1,IF(H72="部分完成",0.5,0))</x:f>
        <x:v>0</x:v>
      </x:c>
      <x:c r="J72" s="174" t="str">
        <x:v>Card 可被发现与验证</x:v>
      </x:c>
    </x:row>
    <x:row r="73">
      <x:c r="A73" s="175" t="n">
        <x:v>69</x:v>
      </x:c>
      <x:c r="B73" s="174" t="str">
        <x:v>7 A2A 闭环</x:v>
      </x:c>
      <x:c r="C73" s="174" t="str">
        <x:v>能力与身份校验</x:v>
      </x:c>
      <x:c r="D73" s="174" t="str">
        <x:v>阻止未授权外部 Agent</x:v>
      </x:c>
      <x:c r="E73" s="174" t="str">
        <x:v>未实现</x:v>
      </x:c>
      <x:c r="F73" s="175" t="str">
        <x:v>P0</x:v>
      </x:c>
      <x:c r="G73" s="175" t="str">
        <x:v>D31-D33</x:v>
      </x:c>
      <x:c r="H73" s="175" t="str">
        <x:v>未开始</x:v>
      </x:c>
      <x:c r="I73" s="176" t="n">
        <x:f>IF(H73="✓ 已完成",1,IF(H73="部分完成",0.5,0))</x:f>
        <x:v>0</x:v>
      </x:c>
      <x:c r="J73" s="174" t="str">
        <x:v>无效身份和能力声明被拒绝</x:v>
      </x:c>
    </x:row>
    <x:row r="74">
      <x:c r="A74" s="175" t="n">
        <x:v>70</x:v>
      </x:c>
      <x:c r="B74" s="174" t="str">
        <x:v>7 A2A 闭环</x:v>
      </x:c>
      <x:c r="C74" s="174" t="str">
        <x:v>Delegation Policy</x:v>
      </x:c>
      <x:c r="D74" s="174" t="str">
        <x:v>决定哪些任务可外包</x:v>
      </x:c>
      <x:c r="E74" s="174" t="str">
        <x:v>未实现</x:v>
      </x:c>
      <x:c r="F74" s="175" t="str">
        <x:v>P0</x:v>
      </x:c>
      <x:c r="G74" s="175" t="str">
        <x:v>D31-D33</x:v>
      </x:c>
      <x:c r="H74" s="175" t="str">
        <x:v>未开始</x:v>
      </x:c>
      <x:c r="I74" s="176" t="n">
        <x:f>IF(H74="✓ 已完成",1,IF(H74="部分完成",0.5,0))</x:f>
        <x:v>0</x:v>
      </x:c>
      <x:c r="J74" s="174" t="str">
        <x:v>敏感数据任务禁止委托</x:v>
      </x:c>
    </x:row>
    <x:row r="75">
      <x:c r="A75" s="175" t="n">
        <x:v>71</x:v>
      </x:c>
      <x:c r="B75" s="174" t="str">
        <x:v>7 A2A 闭环</x:v>
      </x:c>
      <x:c r="C75" s="174" t="str">
        <x:v>外部模拟 Agent</x:v>
      </x:c>
      <x:c r="D75" s="174" t="str">
        <x:v>形成最小可复现协作对象</x:v>
      </x:c>
      <x:c r="E75" s="174" t="str">
        <x:v>未实现</x:v>
      </x:c>
      <x:c r="F75" s="175" t="str">
        <x:v>P1</x:v>
      </x:c>
      <x:c r="G75" s="175" t="str">
        <x:v>D31-D33</x:v>
      </x:c>
      <x:c r="H75" s="175" t="str">
        <x:v>未开始</x:v>
      </x:c>
      <x:c r="I75" s="176" t="n">
        <x:f>IF(H75="✓ 已完成",1,IF(H75="部分完成",0.5,0))</x:f>
        <x:v>0</x:v>
      </x:c>
      <x:c r="J75" s="174" t="str">
        <x:v>可完成一个受控分析任务</x:v>
      </x:c>
    </x:row>
    <x:row r="76">
      <x:c r="A76" s="175" t="n">
        <x:v>72</x:v>
      </x:c>
      <x:c r="B76" s="174" t="str">
        <x:v>7 A2A 闭环</x:v>
      </x:c>
      <x:c r="C76" s="174" t="str">
        <x:v>Message/Task/Artifact/Stream</x:v>
      </x:c>
      <x:c r="D76" s="174" t="str">
        <x:v>完成双向任务和流式结果</x:v>
      </x:c>
      <x:c r="E76" s="174" t="str">
        <x:v>未实现</x:v>
      </x:c>
      <x:c r="F76" s="175" t="str">
        <x:v>P1</x:v>
      </x:c>
      <x:c r="G76" s="175" t="str">
        <x:v>D31-D33</x:v>
      </x:c>
      <x:c r="H76" s="175" t="str">
        <x:v>未开始</x:v>
      </x:c>
      <x:c r="I76" s="176" t="n">
        <x:f>IF(H76="✓ 已完成",1,IF(H76="部分完成",0.5,0))</x:f>
        <x:v>0</x:v>
      </x:c>
      <x:c r="J76" s="174" t="str">
        <x:v>任务状态和 Artifact 可追踪</x:v>
      </x:c>
    </x:row>
    <x:row r="77">
      <x:c r="A77" s="175" t="n">
        <x:v>73</x:v>
      </x:c>
      <x:c r="B77" s="174" t="str">
        <x:v>7 A2A 闭环</x:v>
      </x:c>
      <x:c r="C77" s="174" t="str">
        <x:v>不可信输出边界</x:v>
      </x:c>
      <x:c r="D77" s="174" t="str">
        <x:v>防止外部结果变成系统指令</x:v>
      </x:c>
      <x:c r="E77" s="174" t="str">
        <x:v>未实现</x:v>
      </x:c>
      <x:c r="F77" s="175" t="str">
        <x:v>P0</x:v>
      </x:c>
      <x:c r="G77" s="175" t="str">
        <x:v>D31-D33</x:v>
      </x:c>
      <x:c r="H77" s="175" t="str">
        <x:v>未开始</x:v>
      </x:c>
      <x:c r="I77" s="176" t="n">
        <x:f>IF(H77="✓ 已完成",1,IF(H77="部分完成",0.5,0))</x:f>
        <x:v>0</x:v>
      </x:c>
      <x:c r="J77" s="174" t="str">
        <x:v>外部输出只能作为数据进入验证层</x:v>
      </x:c>
    </x:row>
    <x:row r="78">
      <x:c r="A78" s="175" t="n">
        <x:v>74</x:v>
      </x:c>
      <x:c r="B78" s="174" t="str">
        <x:v>8 评测与交付</x:v>
      </x:c>
      <x:c r="C78" s="174" t="str">
        <x:v>全链路 Trace</x:v>
      </x:c>
      <x:c r="D78" s="174" t="str">
        <x:v>定位检索、模型、工具和策略问题</x:v>
      </x:c>
      <x:c r="E78" s="174" t="str">
        <x:v>管理页只有 Trace 占位</x:v>
      </x:c>
      <x:c r="F78" s="175" t="str">
        <x:v>P0</x:v>
      </x:c>
      <x:c r="G78" s="175" t="str">
        <x:v>D34-D37</x:v>
      </x:c>
      <x:c r="H78" s="175" t="str">
        <x:v>未开始</x:v>
      </x:c>
      <x:c r="I78" s="176" t="n">
        <x:f>IF(H78="✓ 已完成",1,IF(H78="部分完成",0.5,0))</x:f>
        <x:v>0</x:v>
      </x:c>
      <x:c r="J78" s="174" t="str">
        <x:v>每步带 trace_id、耗时、成本和状态</x:v>
      </x:c>
    </x:row>
    <x:row r="79">
      <x:c r="A79" s="175" t="n">
        <x:v>75</x:v>
      </x:c>
      <x:c r="B79" s="174" t="str">
        <x:v>8 评测与交付</x:v>
      </x:c>
      <x:c r="C79" s="174" t="str">
        <x:v>成本与延迟指标</x:v>
      </x:c>
      <x:c r="D79" s="174" t="str">
        <x:v>量化系统效率</x:v>
      </x:c>
      <x:c r="E79" s="174" t="str">
        <x:v>未实现</x:v>
      </x:c>
      <x:c r="F79" s="175" t="str">
        <x:v>P0</x:v>
      </x:c>
      <x:c r="G79" s="175" t="str">
        <x:v>D34-D37</x:v>
      </x:c>
      <x:c r="H79" s="175" t="str">
        <x:v>未开始</x:v>
      </x:c>
      <x:c r="I79" s="176" t="n">
        <x:f>IF(H79="✓ 已完成",1,IF(H79="部分完成",0.5,0))</x:f>
        <x:v>0</x:v>
      </x:c>
      <x:c r="J79" s="174" t="str">
        <x:v>报告 P50/P95、Token、工具成功率</x:v>
      </x:c>
    </x:row>
    <x:row r="80">
      <x:c r="A80" s="175" t="n">
        <x:v>76</x:v>
      </x:c>
      <x:c r="B80" s="174" t="str">
        <x:v>8 评测与交付</x:v>
      </x:c>
      <x:c r="C80" s="174" t="str">
        <x:v>RAG/Agent/安全离线评测</x:v>
      </x:c>
      <x:c r="D80" s="174" t="str">
        <x:v>防止凭感觉调系统</x:v>
      </x:c>
      <x:c r="E80" s="174" t="str">
        <x:v>未实现</x:v>
      </x:c>
      <x:c r="F80" s="175" t="str">
        <x:v>P0</x:v>
      </x:c>
      <x:c r="G80" s="175" t="str">
        <x:v>D34-D37</x:v>
      </x:c>
      <x:c r="H80" s="175" t="str">
        <x:v>未开始</x:v>
      </x:c>
      <x:c r="I80" s="176" t="n">
        <x:f>IF(H80="✓ 已完成",1,IF(H80="部分完成",0.5,0))</x:f>
        <x:v>0</x:v>
      </x:c>
      <x:c r="J80" s="174" t="str">
        <x:v>一条命令生成完整评测报告</x:v>
      </x:c>
    </x:row>
    <x:row r="81">
      <x:c r="A81" s="175" t="n">
        <x:v>77</x:v>
      </x:c>
      <x:c r="B81" s="174" t="str">
        <x:v>8 评测与交付</x:v>
      </x:c>
      <x:c r="C81" s="174" t="str">
        <x:v>在线反馈与失败样本回流</x:v>
      </x:c>
      <x:c r="D81" s="174" t="str">
        <x:v>为后续迭代积累数据</x:v>
      </x:c>
      <x:c r="E81" s="174" t="str">
        <x:v>未实现</x:v>
      </x:c>
      <x:c r="F81" s="175" t="str">
        <x:v>P1</x:v>
      </x:c>
      <x:c r="G81" s="175" t="str">
        <x:v>D34-D37</x:v>
      </x:c>
      <x:c r="H81" s="175" t="str">
        <x:v>未开始</x:v>
      </x:c>
      <x:c r="I81" s="176" t="n">
        <x:f>IF(H81="✓ 已完成",1,IF(H81="部分完成",0.5,0))</x:f>
        <x:v>0</x:v>
      </x:c>
      <x:c r="J81" s="174" t="str">
        <x:v>反馈与失败样本可追溯</x:v>
      </x:c>
    </x:row>
    <x:row r="82">
      <x:c r="A82" s="175" t="n">
        <x:v>78</x:v>
      </x:c>
      <x:c r="B82" s="174" t="str">
        <x:v>8 评测与交付</x:v>
      </x:c>
      <x:c r="C82" s="174" t="str">
        <x:v>故障注入</x:v>
      </x:c>
      <x:c r="D82" s="174" t="str">
        <x:v>验证恢复和降级机制</x:v>
      </x:c>
      <x:c r="E82" s="174" t="str">
        <x:v>未实现</x:v>
      </x:c>
      <x:c r="F82" s="175" t="str">
        <x:v>P0</x:v>
      </x:c>
      <x:c r="G82" s="175" t="str">
        <x:v>D34-D37</x:v>
      </x:c>
      <x:c r="H82" s="175" t="str">
        <x:v>未开始</x:v>
      </x:c>
      <x:c r="I82" s="176" t="n">
        <x:f>IF(H82="✓ 已完成",1,IF(H82="部分完成",0.5,0))</x:f>
        <x:v>0</x:v>
      </x:c>
      <x:c r="J82" s="174" t="str">
        <x:v>覆盖模型、数据库、检索和工具故障</x:v>
      </x:c>
    </x:row>
    <x:row r="83">
      <x:c r="A83" s="175" t="n">
        <x:v>79</x:v>
      </x:c>
      <x:c r="B83" s="174" t="str">
        <x:v>8 评测与交付</x:v>
      </x:c>
      <x:c r="C83" s="174" t="str">
        <x:v>CI 回归</x:v>
      </x:c>
      <x:c r="D83" s="174" t="str">
        <x:v>保证提交后自动验证</x:v>
      </x:c>
      <x:c r="E83" s="174" t="str">
        <x:v>未实现</x:v>
      </x:c>
      <x:c r="F83" s="175" t="str">
        <x:v>P0</x:v>
      </x:c>
      <x:c r="G83" s="175" t="str">
        <x:v>D34-D37</x:v>
      </x:c>
      <x:c r="H83" s="175" t="str">
        <x:v>未开始</x:v>
      </x:c>
      <x:c r="I83" s="176" t="n">
        <x:f>IF(H83="✓ 已完成",1,IF(H83="部分完成",0.5,0))</x:f>
        <x:v>0</x:v>
      </x:c>
      <x:c r="J83" s="174" t="str">
        <x:v>测试和评测冒烟可在 CI 执行</x:v>
      </x:c>
    </x:row>
    <x:row r="84">
      <x:c r="A84" s="175" t="n">
        <x:v>80</x:v>
      </x:c>
      <x:c r="B84" s="174" t="str">
        <x:v>8 评测与交付</x:v>
      </x:c>
      <x:c r="C84" s="174" t="str">
        <x:v>README 与启动说明</x:v>
      </x:c>
      <x:c r="D84" s="174" t="str">
        <x:v>让项目可复现</x:v>
      </x:c>
      <x:c r="E84" s="174" t="str">
        <x:v>只有 project-progress-plan.md，无 README</x:v>
      </x:c>
      <x:c r="F84" s="175" t="str">
        <x:v>P0</x:v>
      </x:c>
      <x:c r="G84" s="175" t="str">
        <x:v>D34-D37</x:v>
      </x:c>
      <x:c r="H84" s="175" t="str">
        <x:v>未开始</x:v>
      </x:c>
      <x:c r="I84" s="176" t="n">
        <x:f>IF(H84="✓ 已完成",1,IF(H84="部分完成",0.5,0))</x:f>
        <x:v>0</x:v>
      </x:c>
      <x:c r="J84" s="174" t="str">
        <x:v>新环境按文档可启动</x:v>
      </x:c>
    </x:row>
    <x:row r="85">
      <x:c r="A85" s="175" t="n">
        <x:v>81</x:v>
      </x:c>
      <x:c r="B85" s="174" t="str">
        <x:v>8 评测与交付</x:v>
      </x:c>
      <x:c r="C85" s="174" t="str">
        <x:v>ADR 与协议边界文档</x:v>
      </x:c>
      <x:c r="D85" s="174" t="str">
        <x:v>记录关键工程决策</x:v>
      </x:c>
      <x:c r="E85" s="174" t="str">
        <x:v>未实现</x:v>
      </x:c>
      <x:c r="F85" s="175" t="str">
        <x:v>P1</x:v>
      </x:c>
      <x:c r="G85" s="175" t="str">
        <x:v>D34-D37</x:v>
      </x:c>
      <x:c r="H85" s="175" t="str">
        <x:v>未开始</x:v>
      </x:c>
      <x:c r="I85" s="176" t="n">
        <x:f>IF(H85="✓ 已完成",1,IF(H85="部分完成",0.5,0))</x:f>
        <x:v>0</x:v>
      </x:c>
      <x:c r="J85" s="174" t="str">
        <x:v>至少记录编排、安全和数据边界</x:v>
      </x:c>
    </x:row>
    <x:row r="86">
      <x:c r="A86" s="175" t="n">
        <x:v>82</x:v>
      </x:c>
      <x:c r="B86" s="174" t="str">
        <x:v>8 评测与交付</x:v>
      </x:c>
      <x:c r="C86" s="174" t="str">
        <x:v>跨领域 Demo</x:v>
      </x:c>
      <x:c r="D86" s="174" t="str">
        <x:v>证明平台不是单一垂直 Agent</x:v>
      </x:c>
      <x:c r="E86" s="174" t="str">
        <x:v>未实现</x:v>
      </x:c>
      <x:c r="F86" s="175" t="str">
        <x:v>P0</x:v>
      </x:c>
      <x:c r="G86" s="175" t="str">
        <x:v>D34-D37</x:v>
      </x:c>
      <x:c r="H86" s="175" t="str">
        <x:v>未开始</x:v>
      </x:c>
      <x:c r="I86" s="176" t="n">
        <x:f>IF(H86="✓ 已完成",1,IF(H86="部分完成",0.5,0))</x:f>
        <x:v>0</x:v>
      </x:c>
      <x:c r="J86" s="174" t="str">
        <x:v>完成制度问答、合同比较、Excel 分析、审批执行</x:v>
      </x:c>
    </x:row>
    <x:row r="87">
      <x:c r="A87" s="178" t="n">
        <x:v>83</x:v>
      </x:c>
      <x:c r="B87" s="177" t="str">
        <x:v>8 评测与交付</x:v>
      </x:c>
      <x:c r="C87" s="177" t="str">
        <x:v>三轮独立审查</x:v>
      </x:c>
      <x:c r="D87" s="177" t="str">
        <x:v>满足最终冻结条件</x:v>
      </x:c>
      <x:c r="E87" s="177" t="str">
        <x:v>未执行</x:v>
      </x:c>
      <x:c r="F87" s="178" t="str">
        <x:v>P0</x:v>
      </x:c>
      <x:c r="G87" s="178" t="str">
        <x:v>D34-D37</x:v>
      </x:c>
      <x:c r="H87" s="178" t="str">
        <x:v>未开始</x:v>
      </x:c>
      <x:c r="I87" s="179" t="n">
        <x:f>IF(H87="✓ 已完成",1,IF(H87="部分完成",0.5,0))</x:f>
        <x:v>0</x:v>
      </x:c>
      <x:c r="J87" s="177" t="str">
        <x:v>契约、安全故障、证据演示审查全部通过</x:v>
      </x:c>
    </x:row>
  </x:sheetData>
  <x:mergeCells>
    <x:mergeCell ref="A1:J1"/>
    <x:mergeCell ref="A2:J2"/>
  </x:mergeCells>
  <x:conditionalFormatting sqref="H5:H87">
    <x:cfRule type="containsText" dxfId="0" priority="1" operator="containsText" text="✓ 已完成"/>
    <x:cfRule type="containsText" dxfId="1" priority="2" operator="containsText" text="部分完成"/>
    <x:cfRule type="containsText" dxfId="2" priority="3" operator="containsText" text="未开始"/>
  </x:conditionalFormatting>
  <x:conditionalFormatting sqref="I5:I87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{889D0DDD-0EB0-FF0C-53A5-3C6DF5DCA4BE}</x14:id>
        </x:ext>
      </x:extLst>
    </x:cfRule>
  </x:conditionalFormatting>
  <x:dataValidations count="1">
    <x:dataValidation type="list" sqref="H5:H87">
      <x:formula1>"✓ 已完成,部分完成,未开始"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54ee7e5b4b451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89D0DDD-0EB0-FF0C-53A5-3C6DF5DCA4BE}">
            <x14:dataBar gradient="1">
              <x14:cfvo type="min"/>
              <x14:cfvo type="max"/>
              <x14:fillColor rgb="FF70AD47"/>
            </x14:dataBar>
          </x14:cfRule>
          <xm:sqref>I5:I87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7" hidden="0" customWidth="1"/>
    <x:col min="4" max="4" width="28" hidden="0" customWidth="1"/>
    <x:col min="5" max="5" width="34" hidden="0" customWidth="1"/>
    <x:col min="6" max="6" width="38" hidden="0" customWidth="1"/>
  </x:cols>
  <x:sheetData>
    <x:row r="1" ht="34" customHeight="1">
      <x:c r="A1" s="216" t="str">
        <x:v>FlowGate 理论架构拆解</x:v>
      </x:c>
      <x:c r="B1" s="216"/>
      <x:c r="C1" s="216"/>
      <x:c r="D1" s="216"/>
      <x:c r="E1" s="216"/>
      <x:c r="F1" s="216"/>
    </x:row>
    <x:row r="2" ht="24" customHeight="1">
      <x:c r="A2" s="154" t="str">
        <x:v>统一契约隔离知识、编排、执行和治理，避免模型越权承担确定性职责</x:v>
      </x:c>
      <x:c r="B2" s="154"/>
      <x:c r="C2" s="154"/>
      <x:c r="D2" s="154"/>
      <x:c r="E2" s="154"/>
      <x:c r="F2" s="154"/>
    </x:row>
    <x:row r="3">
      <x:c r="A3" s="188"/>
      <x:c r="B3" s="188"/>
      <x:c r="C3" s="188"/>
      <x:c r="D3" s="188"/>
      <x:c r="E3" s="188"/>
      <x:c r="F3" s="188"/>
    </x:row>
    <x:row r="4">
      <x:c r="A4" s="217" t="str">
        <x:v>层级</x:v>
      </x:c>
      <x:c r="B4" s="217" t="str">
        <x:v>核心职责</x:v>
      </x:c>
      <x:c r="C4" s="217" t="str">
        <x:v>输入</x:v>
      </x:c>
      <x:c r="D4" s="217" t="str">
        <x:v>输出</x:v>
      </x:c>
      <x:c r="E4" s="217" t="str">
        <x:v>模型边界</x:v>
      </x:c>
      <x:c r="F4" s="217" t="str">
        <x:v>关键验收</x:v>
      </x:c>
    </x:row>
    <x:row r="5">
      <x:c r="A5" s="171" t="str">
        <x:v>接入层</x:v>
      </x:c>
      <x:c r="B5" s="171" t="str">
        <x:v>身份、租户、资源权限、Task Adapter</x:v>
      </x:c>
      <x:c r="C5" s="171" t="str">
        <x:v>用户/API/A2A 请求</x:v>
      </x:c>
      <x:c r="D5" s="171" t="str">
        <x:v>TaskRequest</x:v>
      </x:c>
      <x:c r="E5" s="171" t="str">
        <x:v>不负责业务推理</x:v>
      </x:c>
      <x:c r="F5" s="171" t="str">
        <x:v>不同入口生成统一任务契约</x:v>
      </x:c>
    </x:row>
    <x:row r="6">
      <x:c r="A6" s="174" t="str">
        <x:v>文档层</x:v>
      </x:c>
      <x:c r="B6" s="174" t="str">
        <x:v>解析、DocumentIR、版本、去重、ACL</x:v>
      </x:c>
      <x:c r="C6" s="174" t="str">
        <x:v>企业文档</x:v>
      </x:c>
      <x:c r="D6" s="174" t="str">
        <x:v>统一 DocumentIR</x:v>
      </x:c>
      <x:c r="E6" s="174" t="str">
        <x:v>文档只提供知识和规则</x:v>
      </x:c>
      <x:c r="F6" s="174" t="str">
        <x:v>支持格式保留结构和来源</x:v>
      </x:c>
    </x:row>
    <x:row r="7">
      <x:c r="A7" s="174" t="str">
        <x:v>检索层</x:v>
      </x:c>
      <x:c r="B7" s="174" t="str">
        <x:v>Dense、BM25、RRF、Reranker、引用</x:v>
      </x:c>
      <x:c r="C7" s="174" t="str">
        <x:v>Query + ACL 范围</x:v>
      </x:c>
      <x:c r="D7" s="174" t="str">
        <x:v>Evidence</x:v>
      </x:c>
      <x:c r="E7" s="174" t="str">
        <x:v>不直接生成业务结论</x:v>
      </x:c>
      <x:c r="F7" s="174" t="str">
        <x:v>无越权命中且指标可复现</x:v>
      </x:c>
    </x:row>
    <x:row r="8">
      <x:c r="A8" s="174" t="str">
        <x:v>编排层</x:v>
      </x:c>
      <x:c r="B8" s="174" t="str">
        <x:v>Router、Planner、Budget、Dispatcher、Judge</x:v>
      </x:c>
      <x:c r="C8" s="174" t="str">
        <x:v>TaskRequest + Evidence</x:v>
      </x:c>
      <x:c r="D8" s="174" t="str">
        <x:v>结构化计划和状态</x:v>
      </x:c>
      <x:c r="E8" s="174" t="str">
        <x:v>不能绕过治理层</x:v>
      </x:c>
      <x:c r="F8" s="174" t="str">
        <x:v>预算可控且可暂停恢复</x:v>
      </x:c>
    </x:row>
    <x:row r="9">
      <x:c r="A9" s="174" t="str">
        <x:v>能力层</x:v>
      </x:c>
      <x:c r="B9" s="174" t="str">
        <x:v>Retrieval、Analysis、Tool、Remote</x:v>
      </x:c>
      <x:c r="C9" s="174" t="str">
        <x:v>CapabilitySpec</x:v>
      </x:c>
      <x:c r="D9" s="174" t="str">
        <x:v>能力结果</x:v>
      </x:c>
      <x:c r="E9" s="174" t="str">
        <x:v>能力通过统一接口注册</x:v>
      </x:c>
      <x:c r="F9" s="174" t="str">
        <x:v>内部与外部能力调用方式一致</x:v>
      </x:c>
    </x:row>
    <x:row r="10">
      <x:c r="A10" s="174" t="str">
        <x:v>执行层</x:v>
      </x:c>
      <x:c r="B10" s="174" t="str">
        <x:v>MCP、A2A、沙箱、企业接口</x:v>
      </x:c>
      <x:c r="C10" s="174" t="str">
        <x:v>通过策略的调用</x:v>
      </x:c>
      <x:c r="D10" s="174" t="str">
        <x:v>Artifact/Tool Result</x:v>
      </x:c>
      <x:c r="E10" s="174" t="str">
        <x:v>模型不直接接触底层执行器</x:v>
      </x:c>
      <x:c r="F10" s="174" t="str">
        <x:v>不存在绕过 Policy 的路径</x:v>
      </x:c>
    </x:row>
    <x:row r="11">
      <x:c r="A11" s="174" t="str">
        <x:v>治理层</x:v>
      </x:c>
      <x:c r="B11" s="174" t="str">
        <x:v>Policy、审批、幂等、Checkpoint、Trace</x:v>
      </x:c>
      <x:c r="C11" s="174" t="str">
        <x:v>调用意图和权限上下文</x:v>
      </x:c>
      <x:c r="D11" s="174" t="str">
        <x:v>ALLOW/APPROVAL/DENY</x:v>
      </x:c>
      <x:c r="E11" s="174" t="str">
        <x:v>模型只能建议，不能授权</x:v>
      </x:c>
      <x:c r="F11" s="174" t="str">
        <x:v>危险操作自动执行次数为 0</x:v>
      </x:c>
    </x:row>
    <x:row r="12">
      <x:c r="A12" s="177" t="str">
        <x:v>评测层</x:v>
      </x:c>
      <x:c r="B12" s="177" t="str">
        <x:v>RAG、Agent、工具、安全、系统指标</x:v>
      </x:c>
      <x:c r="C12" s="177" t="str">
        <x:v>冻结测试集</x:v>
      </x:c>
      <x:c r="D12" s="177" t="str">
        <x:v>可复现评测报告</x:v>
      </x:c>
      <x:c r="E12" s="177" t="str">
        <x:v>测试集不进入训练</x:v>
      </x:c>
      <x:c r="F12" s="177" t="str">
        <x:v>每次变更可比较且不污染</x:v>
      </x:c>
    </x:row>
    <x:row r="13">
      <x:c r="A13" s="188"/>
      <x:c r="B13" s="188"/>
      <x:c r="C13" s="188"/>
      <x:c r="D13" s="188"/>
      <x:c r="E13" s="188"/>
      <x:c r="F13" s="188"/>
    </x:row>
    <x:row r="14" ht="24" customHeight="1">
      <x:c r="A14" s="220" t="str">
        <x:v>五个核心数据契约</x:v>
      </x:c>
      <x:c r="B14" s="220"/>
      <x:c r="C14" s="220"/>
      <x:c r="D14" s="220"/>
      <x:c r="E14" s="220"/>
      <x:c r="F14" s="220"/>
    </x:row>
    <x:row r="15">
      <x:c r="A15" s="217" t="str">
        <x:v>契约</x:v>
      </x:c>
      <x:c r="B15" s="217" t="str">
        <x:v>作用</x:v>
      </x:c>
      <x:c r="C15" s="217" t="str">
        <x:v>关键字段</x:v>
      </x:c>
      <x:c r="D15" s="217" t="str">
        <x:v>生产者</x:v>
      </x:c>
      <x:c r="E15" s="217" t="str">
        <x:v>消费者</x:v>
      </x:c>
      <x:c r="F15" s="217" t="str">
        <x:v>冻结条件</x:v>
      </x:c>
    </x:row>
    <x:row r="16">
      <x:c r="A16" s="171" t="str">
        <x:v>DocumentIR</x:v>
      </x:c>
      <x:c r="B16" s="171" t="str">
        <x:v>统一所有支持文档格式</x:v>
      </x:c>
      <x:c r="C16" s="171" t="str">
        <x:v>blocks/page/table/image/metadata/acl</x:v>
      </x:c>
      <x:c r="D16" s="171" t="str">
        <x:v>解析层</x:v>
      </x:c>
      <x:c r="E16" s="171" t="str">
        <x:v>检索与分析能力</x:v>
      </x:c>
      <x:c r="F16" s="171" t="str">
        <x:v>版本化且有兼容测试</x:v>
      </x:c>
    </x:row>
    <x:row r="17">
      <x:c r="A17" s="174" t="str">
        <x:v>TaskRequest</x:v>
      </x:c>
      <x:c r="B17" s="174" t="str">
        <x:v>统一用户与 Agent 请求</x:v>
      </x:c>
      <x:c r="C17" s="174" t="str">
        <x:v>identity/tenant/goal/attachments/scope/budget</x:v>
      </x:c>
      <x:c r="D17" s="174" t="str">
        <x:v>接入层</x:v>
      </x:c>
      <x:c r="E17" s="174" t="str">
        <x:v>编排层</x:v>
      </x:c>
      <x:c r="F17" s="174" t="str">
        <x:v>字段和权限语义稳定</x:v>
      </x:c>
    </x:row>
    <x:row r="18">
      <x:c r="A18" s="174" t="str">
        <x:v>CapabilitySpec</x:v>
      </x:c>
      <x:c r="B18" s="174" t="str">
        <x:v>统一内部、MCP、A2A 能力</x:v>
      </x:c>
      <x:c r="C18" s="174" t="str">
        <x:v>name/description/input_schema/risk/executor</x:v>
      </x:c>
      <x:c r="D18" s="174" t="str">
        <x:v>能力注册表</x:v>
      </x:c>
      <x:c r="E18" s="174" t="str">
        <x:v>Router/Dispatcher/Policy</x:v>
      </x:c>
      <x:c r="F18" s="174" t="str">
        <x:v>Schema 与风险等级明确</x:v>
      </x:c>
    </x:row>
    <x:row r="19">
      <x:c r="A19" s="174" t="str">
        <x:v>TaskState</x:v>
      </x:c>
      <x:c r="B19" s="174" t="str">
        <x:v>承载长任务事实状态</x:v>
      </x:c>
      <x:c r="C19" s="174" t="str">
        <x:v>plan/evidence/calls/budget/checkpoint/status</x:v>
      </x:c>
      <x:c r="D19" s="174" t="str">
        <x:v>编排层</x:v>
      </x:c>
      <x:c r="E19" s="174" t="str">
        <x:v>恢复、Trace、前端</x:v>
      </x:c>
      <x:c r="F19" s="174" t="str">
        <x:v>状态迁移有测试</x:v>
      </x:c>
    </x:row>
    <x:row r="20">
      <x:c r="A20" s="177" t="str">
        <x:v>TraceEvent</x:v>
      </x:c>
      <x:c r="B20" s="177" t="str">
        <x:v>建立可审计执行链</x:v>
      </x:c>
      <x:c r="C20" s="177" t="str">
        <x:v>trace_id/input/output/latency/cost/error/decision</x:v>
      </x:c>
      <x:c r="D20" s="177" t="str">
        <x:v>全链路</x:v>
      </x:c>
      <x:c r="E20" s="177" t="str">
        <x:v>评测、排障、Dashboard</x:v>
      </x:c>
      <x:c r="F20" s="177" t="str">
        <x:v>关键步骤均产生事件</x:v>
      </x:c>
    </x:row>
    <x:row r="21">
      <x:c r="A21" s="188"/>
      <x:c r="B21" s="188"/>
      <x:c r="C21" s="188"/>
      <x:c r="D21" s="188"/>
      <x:c r="E21" s="188"/>
      <x:c r="F21" s="188"/>
    </x:row>
    <x:row r="22" ht="24" customHeight="1">
      <x:c r="A22" s="219" t="str">
        <x:v>小模型职责边界</x:v>
      </x:c>
      <x:c r="B22" s="219"/>
      <x:c r="C22" s="219"/>
      <x:c r="D22" s="219"/>
      <x:c r="E22" s="219"/>
      <x:c r="F22" s="219"/>
    </x:row>
    <x:row r="23">
      <x:c r="A23" s="171" t="str">
        <x:v>允许</x:v>
      </x:c>
      <x:c r="B23" s="171" t="str">
        <x:v>工具相关性判断</x:v>
      </x:c>
      <x:c r="C23" s="171" t="str">
        <x:v>根据请求和候选 Schema 判断是否存在可用工具</x:v>
      </x:c>
      <x:c r="D23" s="171" t="str">
        <x:v>输出 TOOL_CALL/NO_TOOL</x:v>
      </x:c>
      <x:c r="E23" s="171" t="str">
        <x:v>ToolACE/xLAM 可提供监督</x:v>
      </x:c>
      <x:c r="F23" s="171" t="str">
        <x:v>BFCL 独立评测</x:v>
      </x:c>
    </x:row>
    <x:row r="24">
      <x:c r="A24" s="174" t="str">
        <x:v>允许</x:v>
      </x:c>
      <x:c r="B24" s="174" t="str">
        <x:v>工具选择</x:v>
      </x:c>
      <x:c r="C24" s="174" t="str">
        <x:v>从权限过滤后的候选工具中选择</x:v>
      </x:c>
      <x:c r="D24" s="174" t="str">
        <x:v>输出 tool name</x:v>
      </x:c>
      <x:c r="E24" s="174" t="str">
        <x:v>公开函数调用数据可训练</x:v>
      </x:c>
      <x:c r="F24" s="174" t="str">
        <x:v>工具选择准确率</x:v>
      </x:c>
    </x:row>
    <x:row r="25">
      <x:c r="A25" s="174" t="str">
        <x:v>允许</x:v>
      </x:c>
      <x:c r="B25" s="174" t="str">
        <x:v>参数生成</x:v>
      </x:c>
      <x:c r="C25" s="174" t="str">
        <x:v>从请求提取符合 Schema 的参数</x:v>
      </x:c>
      <x:c r="D25" s="174" t="str">
        <x:v>输出 arguments</x:v>
      </x:c>
      <x:c r="E25" s="174" t="str">
        <x:v>公开函数调用数据可训练</x:v>
      </x:c>
      <x:c r="F25" s="174" t="str">
        <x:v>参数 exact match/合法率</x:v>
      </x:c>
    </x:row>
    <x:row r="26">
      <x:c r="A26" s="177" t="str">
        <x:v>禁止</x:v>
      </x:c>
      <x:c r="B26" s="177" t="str">
        <x:v>权限、审批和模型升级</x:v>
      </x:c>
      <x:c r="C26" s="177" t="str">
        <x:v>必须由确定性网关处理</x:v>
      </x:c>
      <x:c r="D26" s="177" t="str">
        <x:v>ALLOW/APPROVAL/DENY</x:v>
      </x:c>
      <x:c r="E26" s="177" t="str">
        <x:v>公开数据不提供可靠监督</x:v>
      </x:c>
      <x:c r="F26" s="177" t="str">
        <x:v>越权与危险自动执行为 0</x:v>
      </x:c>
    </x:row>
  </x:sheetData>
  <x:mergeCells>
    <x:mergeCell ref="A1:F1"/>
    <x:mergeCell ref="A2:F2"/>
    <x:mergeCell ref="A14:F14"/>
    <x:mergeCell ref="A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0" hidden="0" customWidth="1"/>
    <x:col min="4" max="4" width="32" hidden="0" customWidth="1"/>
    <x:col min="5" max="5" width="30" hidden="0" customWidth="1"/>
    <x:col min="6" max="6" width="14" hidden="0" customWidth="1"/>
    <x:col min="7" max="7" width="15" hidden="0" customWidth="1"/>
  </x:cols>
  <x:sheetData>
    <x:row r="1" ht="34" customHeight="1">
      <x:c r="A1" s="216" t="str">
        <x:v>验收门与评测矩阵</x:v>
      </x:c>
      <x:c r="B1" s="216"/>
      <x:c r="C1" s="216"/>
      <x:c r="D1" s="216"/>
      <x:c r="E1" s="216"/>
      <x:c r="F1" s="216"/>
      <x:c r="G1" s="216"/>
    </x:row>
    <x:row r="2" ht="24" customHeight="1">
      <x:c r="A2" s="154" t="str">
        <x:v>所有阶段必须以可复现证据退出，不能仅凭页面展示或主观判断完成</x:v>
      </x:c>
      <x:c r="B2" s="154"/>
      <x:c r="C2" s="154"/>
      <x:c r="D2" s="154"/>
      <x:c r="E2" s="154"/>
      <x:c r="F2" s="154"/>
      <x:c r="G2" s="154"/>
    </x:row>
    <x:row r="3">
      <x:c r="A3" s="188"/>
      <x:c r="B3" s="188"/>
      <x:c r="C3" s="188"/>
      <x:c r="D3" s="188"/>
      <x:c r="E3" s="188"/>
      <x:c r="F3" s="188"/>
      <x:c r="G3" s="188"/>
    </x:row>
    <x:row r="4">
      <x:c r="A4" s="217" t="str">
        <x:v>Gate</x:v>
      </x:c>
      <x:c r="B4" s="217" t="str">
        <x:v>对应阶段</x:v>
      </x:c>
      <x:c r="C4" s="217" t="str">
        <x:v>指标/检查</x:v>
      </x:c>
      <x:c r="D4" s="217" t="str">
        <x:v>通过标准</x:v>
      </x:c>
      <x:c r="E4" s="217" t="str">
        <x:v>证据</x:v>
      </x:c>
      <x:c r="F4" s="217" t="str">
        <x:v>状态</x:v>
      </x:c>
      <x:c r="G4" s="217" t="str">
        <x:v>优先级</x:v>
      </x:c>
    </x:row>
    <x:row r="5">
      <x:c r="A5" s="172" t="str">
        <x:v>G0</x:v>
      </x:c>
      <x:c r="B5" s="172" t="str">
        <x:v>工程基线</x:v>
      </x:c>
      <x:c r="C5" s="171" t="str">
        <x:v>服务健康与冒烟测试</x:v>
      </x:c>
      <x:c r="D5" s="171" t="str">
        <x:v>前端、后端、PostgreSQL、Redis、Qdrant 全部健康</x:v>
      </x:c>
      <x:c r="E5" s="171" t="str">
        <x:v>CI 日志 + /api/health</x:v>
      </x:c>
      <x:c r="F5" s="172" t="str">
        <x:v>部分完成</x:v>
      </x:c>
      <x:c r="G5" s="172" t="str">
        <x:v>P0</x:v>
      </x:c>
    </x:row>
    <x:row r="6">
      <x:c r="A6" s="175" t="str">
        <x:v>G1</x:v>
      </x:c>
      <x:c r="B6" s="175" t="str">
        <x:v>统一文档层</x:v>
      </x:c>
      <x:c r="C6" s="174" t="str">
        <x:v>格式覆盖与结构保真</x:v>
      </x:c>
      <x:c r="D6" s="174" t="str">
        <x:v>支持格式全部转换为 DocumentIR 并保留来源</x:v>
      </x:c>
      <x:c r="E6" s="174" t="str">
        <x:v>固定样本文档 + 结构快照</x:v>
      </x:c>
      <x:c r="F6" s="175" t="str">
        <x:v>未开始</x:v>
      </x:c>
      <x:c r="G6" s="175" t="str">
        <x:v>P0</x:v>
      </x:c>
    </x:row>
    <x:row r="7">
      <x:c r="A7" s="175" t="str">
        <x:v>G2</x:v>
      </x:c>
      <x:c r="B7" s="175" t="str">
        <x:v>权限化 RAG</x:v>
      </x:c>
      <x:c r="C7" s="174" t="str">
        <x:v>租户隔离</x:v>
      </x:c>
      <x:c r="D7" s="174" t="str">
        <x:v>跨租户越权命中率为 0</x:v>
      </x:c>
      <x:c r="E7" s="174" t="str">
        <x:v>至少 30 条对抗查询</x:v>
      </x:c>
      <x:c r="F7" s="175" t="str">
        <x:v>未开始</x:v>
      </x:c>
      <x:c r="G7" s="175" t="str">
        <x:v>P0</x:v>
      </x:c>
    </x:row>
    <x:row r="8">
      <x:c r="A8" s="175" t="str">
        <x:v>G2</x:v>
      </x:c>
      <x:c r="B8" s="175" t="str">
        <x:v>权限化 RAG</x:v>
      </x:c>
      <x:c r="C8" s="174" t="str">
        <x:v>检索质量</x:v>
      </x:c>
      <x:c r="D8" s="174" t="str">
        <x:v>输出 Dense 与 Hybrid 的 Recall@K/MRR/NDCG 对照</x:v>
      </x:c>
      <x:c r="E8" s="174" t="str">
        <x:v>冻结 50 条跨领域查询</x:v>
      </x:c>
      <x:c r="F8" s="175" t="str">
        <x:v>未开始</x:v>
      </x:c>
      <x:c r="G8" s="175" t="str">
        <x:v>P0</x:v>
      </x:c>
    </x:row>
    <x:row r="9">
      <x:c r="A9" s="175" t="str">
        <x:v>G3</x:v>
      </x:c>
      <x:c r="B9" s="175" t="str">
        <x:v>动态编排</x:v>
      </x:c>
      <x:c r="C9" s="174" t="str">
        <x:v>预算控制</x:v>
      </x:c>
      <x:c r="D9" s="174" t="str">
        <x:v>达到 max_steps/timeout/token/cost 后确定性停止</x:v>
      </x:c>
      <x:c r="E9" s="174" t="str">
        <x:v>预算边界测试</x:v>
      </x:c>
      <x:c r="F9" s="175" t="str">
        <x:v>未开始</x:v>
      </x:c>
      <x:c r="G9" s="175" t="str">
        <x:v>P0</x:v>
      </x:c>
    </x:row>
    <x:row r="10">
      <x:c r="A10" s="175" t="str">
        <x:v>G3</x:v>
      </x:c>
      <x:c r="B10" s="175" t="str">
        <x:v>动态编排</x:v>
      </x:c>
      <x:c r="C10" s="174" t="str">
        <x:v>暂停恢复</x:v>
      </x:c>
      <x:c r="D10" s="174" t="str">
        <x:v>进程重启后从最近 Checkpoint 恢复</x:v>
      </x:c>
      <x:c r="E10" s="174" t="str">
        <x:v>恢复集成测试</x:v>
      </x:c>
      <x:c r="F10" s="175" t="str">
        <x:v>未开始</x:v>
      </x:c>
      <x:c r="G10" s="175" t="str">
        <x:v>P0</x:v>
      </x:c>
    </x:row>
    <x:row r="11">
      <x:c r="A11" s="175" t="str">
        <x:v>G4</x:v>
      </x:c>
      <x:c r="B11" s="175" t="str">
        <x:v>安全能力层</x:v>
      </x:c>
      <x:c r="C11" s="174" t="str">
        <x:v>参数和权限校验</x:v>
      </x:c>
      <x:c r="D11" s="174" t="str">
        <x:v>非法参数及越界资源拦截率 100%</x:v>
      </x:c>
      <x:c r="E11" s="174" t="str">
        <x:v>Schema/ACL 对抗测试</x:v>
      </x:c>
      <x:c r="F11" s="175" t="str">
        <x:v>未开始</x:v>
      </x:c>
      <x:c r="G11" s="175" t="str">
        <x:v>P0</x:v>
      </x:c>
    </x:row>
    <x:row r="12">
      <x:c r="A12" s="175" t="str">
        <x:v>G4</x:v>
      </x:c>
      <x:c r="B12" s="175" t="str">
        <x:v>安全能力层</x:v>
      </x:c>
      <x:c r="C12" s="174" t="str">
        <x:v>高风险审批</x:v>
      </x:c>
      <x:c r="D12" s="174" t="str">
        <x:v>未经审批自动执行次数为 0</x:v>
      </x:c>
      <x:c r="E12" s="174" t="str">
        <x:v>审批全链路测试</x:v>
      </x:c>
      <x:c r="F12" s="175" t="str">
        <x:v>未开始</x:v>
      </x:c>
      <x:c r="G12" s="175" t="str">
        <x:v>P0</x:v>
      </x:c>
    </x:row>
    <x:row r="13">
      <x:c r="A13" s="175" t="str">
        <x:v>G4</x:v>
      </x:c>
      <x:c r="B13" s="175" t="str">
        <x:v>安全能力层</x:v>
      </x:c>
      <x:c r="C13" s="174" t="str">
        <x:v>幂等性</x:v>
      </x:c>
      <x:c r="D13" s="174" t="str">
        <x:v>同一幂等键只产生一次副作用</x:v>
      </x:c>
      <x:c r="E13" s="174" t="str">
        <x:v>重复请求测试</x:v>
      </x:c>
      <x:c r="F13" s="175" t="str">
        <x:v>未开始</x:v>
      </x:c>
      <x:c r="G13" s="175" t="str">
        <x:v>P0</x:v>
      </x:c>
    </x:row>
    <x:row r="14">
      <x:c r="A14" s="175" t="str">
        <x:v>G5</x:v>
      </x:c>
      <x:c r="B14" s="175" t="str">
        <x:v>MCP 闭环</x:v>
      </x:c>
      <x:c r="C14" s="174" t="str">
        <x:v>协议与安全路径</x:v>
      </x:c>
      <x:c r="D14" s="174" t="str">
        <x:v>工具只能通过 Policy→MCP 调用</x:v>
      </x:c>
      <x:c r="E14" s="174" t="str">
        <x:v>端到端调用 Trace</x:v>
      </x:c>
      <x:c r="F14" s="175" t="str">
        <x:v>未开始</x:v>
      </x:c>
      <x:c r="G14" s="175" t="str">
        <x:v>P0</x:v>
      </x:c>
    </x:row>
    <x:row r="15">
      <x:c r="A15" s="175" t="str">
        <x:v>G6</x:v>
      </x:c>
      <x:c r="B15" s="175" t="str">
        <x:v>小模型后训练</x:v>
      </x:c>
      <x:c r="C15" s="174" t="str">
        <x:v>模型能力增益</x:v>
      </x:c>
      <x:c r="D15" s="174" t="str">
        <x:v>报告 Base/SFT 的工具选择、参数和 NO_TOOL 结果</x:v>
      </x:c>
      <x:c r="E15" s="174" t="str">
        <x:v>BFCL + 企业独立集</x:v>
      </x:c>
      <x:c r="F15" s="175" t="str">
        <x:v>未开始</x:v>
      </x:c>
      <x:c r="G15" s="175" t="str">
        <x:v>P0</x:v>
      </x:c>
    </x:row>
    <x:row r="16">
      <x:c r="A16" s="175" t="str">
        <x:v>G6</x:v>
      </x:c>
      <x:c r="B16" s="175" t="str">
        <x:v>小模型后训练</x:v>
      </x:c>
      <x:c r="C16" s="174" t="str">
        <x:v>工程收益</x:v>
      </x:c>
      <x:c r="D16" s="174" t="str">
        <x:v>报告 P50/P95、显存、外部调用节省</x:v>
      </x:c>
      <x:c r="E16" s="174" t="str">
        <x:v>固定硬件和推理参数</x:v>
      </x:c>
      <x:c r="F16" s="175" t="str">
        <x:v>未开始</x:v>
      </x:c>
      <x:c r="G16" s="175" t="str">
        <x:v>P0</x:v>
      </x:c>
    </x:row>
    <x:row r="17">
      <x:c r="A17" s="175" t="str">
        <x:v>G7</x:v>
      </x:c>
      <x:c r="B17" s="175" t="str">
        <x:v>A2A 闭环</x:v>
      </x:c>
      <x:c r="C17" s="174" t="str">
        <x:v>委托与不可信输出</x:v>
      </x:c>
      <x:c r="D17" s="174" t="str">
        <x:v>敏感数据不可委托，外部结果不能成为系统指令</x:v>
      </x:c>
      <x:c r="E17" s="174" t="str">
        <x:v>A2A 安全测试</x:v>
      </x:c>
      <x:c r="F17" s="175" t="str">
        <x:v>未开始</x:v>
      </x:c>
      <x:c r="G17" s="175" t="str">
        <x:v>P0</x:v>
      </x:c>
    </x:row>
    <x:row r="18">
      <x:c r="A18" s="175" t="str">
        <x:v>G8</x:v>
      </x:c>
      <x:c r="B18" s="175" t="str">
        <x:v>评测与交付</x:v>
      </x:c>
      <x:c r="C18" s="174" t="str">
        <x:v>故障恢复</x:v>
      </x:c>
      <x:c r="D18" s="174" t="str">
        <x:v>模型、检索、数据库和工具故障均有预期降级</x:v>
      </x:c>
      <x:c r="E18" s="174" t="str">
        <x:v>故障注入报告</x:v>
      </x:c>
      <x:c r="F18" s="175" t="str">
        <x:v>未开始</x:v>
      </x:c>
      <x:c r="G18" s="175" t="str">
        <x:v>P0</x:v>
      </x:c>
    </x:row>
    <x:row r="19">
      <x:c r="A19" s="175" t="str">
        <x:v>G8</x:v>
      </x:c>
      <x:c r="B19" s="175" t="str">
        <x:v>最终冻结</x:v>
      </x:c>
      <x:c r="C19" s="174" t="str">
        <x:v>契约审查</x:v>
      </x:c>
      <x:c r="D19" s="174" t="str">
        <x:v>协议、数据和状态边界无歧义</x:v>
      </x:c>
      <x:c r="E19" s="174" t="str">
        <x:v>Review 记录</x:v>
      </x:c>
      <x:c r="F19" s="175" t="str">
        <x:v>未开始</x:v>
      </x:c>
      <x:c r="G19" s="175" t="str">
        <x:v>P0</x:v>
      </x:c>
    </x:row>
    <x:row r="20">
      <x:c r="A20" s="175" t="str">
        <x:v>G8</x:v>
      </x:c>
      <x:c r="B20" s="175" t="str">
        <x:v>最终冻结</x:v>
      </x:c>
      <x:c r="C20" s="174" t="str">
        <x:v>安全与失败审查</x:v>
      </x:c>
      <x:c r="D20" s="174" t="str">
        <x:v>越权、副作用、恢复与降级全部通过</x:v>
      </x:c>
      <x:c r="E20" s="174" t="str">
        <x:v>Review 记录</x:v>
      </x:c>
      <x:c r="F20" s="175" t="str">
        <x:v>未开始</x:v>
      </x:c>
      <x:c r="G20" s="175" t="str">
        <x:v>P0</x:v>
      </x:c>
    </x:row>
    <x:row r="21">
      <x:c r="A21" s="178" t="str">
        <x:v>G8</x:v>
      </x:c>
      <x:c r="B21" s="178" t="str">
        <x:v>最终冻结</x:v>
      </x:c>
      <x:c r="C21" s="177" t="str">
        <x:v>证据与演示审查</x:v>
      </x:c>
      <x:c r="D21" s="177" t="str">
        <x:v>README、评测、Demo 均可复现</x:v>
      </x:c>
      <x:c r="E21" s="177" t="str">
        <x:v>Review 记录</x:v>
      </x:c>
      <x:c r="F21" s="178" t="str">
        <x:v>未开始</x:v>
      </x:c>
      <x:c r="G21" s="178" t="str">
        <x:v>P0</x:v>
      </x:c>
    </x:row>
  </x:sheetData>
  <x:mergeCells>
    <x:mergeCell ref="A1:G1"/>
    <x:mergeCell ref="A2:G2"/>
  </x:mergeCells>
  <x:conditionalFormatting sqref="F5:F21">
    <x:cfRule type="containsText" dxfId="3" priority="1" operator="containsText" text="✓ 已完成"/>
    <x:cfRule type="containsText" dxfId="4" priority="2" operator="containsText" text="部分完成"/>
    <x:cfRule type="containsText" dxfId="5" priority="3" operator="containsText" text="未开始"/>
  </x:conditionalFormatting>
  <x:dataValidations count="1">
    <x:dataValidation type="list" sqref="F5:F21">
      <x:formula1>"✓ 已完成,部分完成,未开始"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27cdd67f349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42" hidden="0" customWidth="1"/>
    <x:col min="5" max="5" width="25" hidden="0" customWidth="1"/>
    <x:col min="6" max="6" width="25" hidden="0" customWidth="1"/>
  </x:cols>
  <x:sheetData>
    <x:row r="1" ht="34" customHeight="1">
      <x:c r="A1" s="216" t="str">
        <x:v>排期评分与风险登记</x:v>
      </x:c>
      <x:c r="B1" s="216"/>
      <x:c r="C1" s="216"/>
      <x:c r="D1" s="216"/>
      <x:c r="E1" s="216"/>
      <x:c r="F1" s="216"/>
    </x:row>
    <x:row r="2" ht="24" customHeight="1">
      <x:c r="A2" s="154" t="str">
        <x:v>评分用于检查排期质量，不代表系统已经完成；最终冻结仍以验收门为准</x:v>
      </x:c>
      <x:c r="B2" s="154"/>
      <x:c r="C2" s="154"/>
      <x:c r="D2" s="154"/>
      <x:c r="E2" s="154"/>
      <x:c r="F2" s="154"/>
    </x:row>
    <x:row r="3">
      <x:c r="A3" s="188"/>
      <x:c r="B3" s="188"/>
      <x:c r="C3" s="188"/>
      <x:c r="D3" s="188"/>
      <x:c r="E3" s="188"/>
      <x:c r="F3" s="188"/>
    </x:row>
    <x:row r="4" ht="24" customHeight="1">
      <x:c r="A4" s="218" t="str">
        <x:v>排期评分</x:v>
      </x:c>
      <x:c r="B4" s="218"/>
      <x:c r="C4" s="218"/>
      <x:c r="D4" s="218"/>
      <x:c r="E4" s="218"/>
      <x:c r="F4" s="218"/>
    </x:row>
    <x:row r="5">
      <x:c r="A5" s="217" t="str">
        <x:v>维度</x:v>
      </x:c>
      <x:c r="B5" s="217" t="str">
        <x:v>评分</x:v>
      </x:c>
      <x:c r="C5" s="217" t="str">
        <x:v>权重</x:v>
      </x:c>
      <x:c r="D5" s="217" t="str">
        <x:v>评分依据</x:v>
      </x:c>
      <x:c r="E5" s="188"/>
      <x:c r="F5" s="188"/>
    </x:row>
    <x:row r="6">
      <x:c r="A6" s="171" t="str">
        <x:v>产品定位准确性</x:v>
      </x:c>
      <x:c r="B6" s="208" t="n">
        <x:v>9.9</x:v>
      </x:c>
      <x:c r="C6" s="209" t="n">
        <x:v>0.15</x:v>
      </x:c>
      <x:c r="D6" s="171" t="str">
        <x:v>定位为文档驱动的企业通用知识与工作流平台</x:v>
      </x:c>
      <x:c r="E6" s="188"/>
      <x:c r="F6" s="188"/>
    </x:row>
    <x:row r="7">
      <x:c r="A7" s="174" t="str">
        <x:v>理论边界完整性</x:v>
      </x:c>
      <x:c r="B7" s="210" t="n">
        <x:v>9.8</x:v>
      </x:c>
      <x:c r="C7" s="211" t="n">
        <x:v>0.15</x:v>
      </x:c>
      <x:c r="D7" s="174" t="str">
        <x:v>知识、编排、执行、治理和评测职责清晰</x:v>
      </x:c>
      <x:c r="E7" s="188"/>
      <x:c r="F7" s="188"/>
    </x:row>
    <x:row r="8">
      <x:c r="A8" s="174" t="str">
        <x:v>与现有代码衔接</x:v>
      </x:c>
      <x:c r="B8" s="210" t="n">
        <x:v>9.7</x:v>
      </x:c>
      <x:c r="C8" s="211" t="n">
        <x:v>0.1</x:v>
      </x:c>
      <x:c r="D8" s="174" t="str">
        <x:v>保留现有 FastAPI/Next/Qdrant/RAG 基线</x:v>
      </x:c>
      <x:c r="E8" s="188"/>
      <x:c r="F8" s="188"/>
    </x:row>
    <x:row r="9">
      <x:c r="A9" s="174" t="str">
        <x:v>依赖顺序合理性</x:v>
      </x:c>
      <x:c r="B9" s="210" t="n">
        <x:v>9.8</x:v>
      </x:c>
      <x:c r="C9" s="211" t="n">
        <x:v>0.15</x:v>
      </x:c>
      <x:c r="D9" s="174" t="str">
        <x:v>先冻结契约，再做编排、MCP、小模型和 A2A</x:v>
      </x:c>
      <x:c r="E9" s="188"/>
      <x:c r="F9" s="188"/>
    </x:row>
    <x:row r="10">
      <x:c r="A10" s="174" t="str">
        <x:v>单人工作量可行性</x:v>
      </x:c>
      <x:c r="B10" s="210" t="n">
        <x:v>9.5</x:v>
      </x:c>
      <x:c r="C10" s="211" t="n">
        <x:v>0.15</x:v>
      </x:c>
      <x:c r="D10" s="174" t="str">
        <x:v>37+3 有效开发日，严格限制 MCP/A2A 范围</x:v>
      </x:c>
      <x:c r="E10" s="188"/>
      <x:c r="F10" s="188"/>
    </x:row>
    <x:row r="11">
      <x:c r="A11" s="174" t="str">
        <x:v>安全与失败设计</x:v>
      </x:c>
      <x:c r="B11" s="210" t="n">
        <x:v>9.7</x:v>
      </x:c>
      <x:c r="C11" s="211" t="n">
        <x:v>0.15</x:v>
      </x:c>
      <x:c r="D11" s="174" t="str">
        <x:v>审批、幂等、Checkpoint 和故障注入进入主路径</x:v>
      </x:c>
      <x:c r="E11" s="188"/>
      <x:c r="F11" s="188"/>
    </x:row>
    <x:row r="12">
      <x:c r="A12" s="174" t="str">
        <x:v>验收指标可操作性</x:v>
      </x:c>
      <x:c r="B12" s="210" t="n">
        <x:v>9.8</x:v>
      </x:c>
      <x:c r="C12" s="211" t="n">
        <x:v>0.1</x:v>
      </x:c>
      <x:c r="D12" s="174" t="str">
        <x:v>每阶段都有量化 Gate 与证据</x:v>
      </x:c>
      <x:c r="E12" s="188"/>
      <x:c r="F12" s="188"/>
    </x:row>
    <x:row r="13">
      <x:c r="A13" s="177" t="str">
        <x:v>范围控制与缓冲</x:v>
      </x:c>
      <x:c r="B13" s="212" t="n">
        <x:v>9.6</x:v>
      </x:c>
      <x:c r="C13" s="213" t="n">
        <x:v>0.05</x:v>
      </x:c>
      <x:c r="D13" s="177" t="str">
        <x:v>明确不做项并保留三天阻塞缓冲</x:v>
      </x:c>
      <x:c r="E13" s="188"/>
      <x:c r="F13" s="188"/>
    </x:row>
    <x:row r="14">
      <x:c r="A14" s="214" t="str">
        <x:v>加权综合评分</x:v>
      </x:c>
      <x:c r="B14" s="214"/>
      <x:c r="C14" s="214"/>
      <x:c r="D14" s="221" t="n">
        <x:f>SUMPRODUCT(B6:B13,C6:C13)</x:f>
        <x:v>9.735</x:v>
      </x:c>
      <x:c r="E14" s="188"/>
      <x:c r="F14" s="188"/>
    </x:row>
    <x:row r="15">
      <x:c r="A15" s="188"/>
      <x:c r="B15" s="188"/>
      <x:c r="C15" s="188"/>
      <x:c r="D15" s="188"/>
      <x:c r="E15" s="188"/>
      <x:c r="F15" s="188"/>
    </x:row>
    <x:row r="16">
      <x:c r="A16" s="188"/>
      <x:c r="B16" s="188"/>
      <x:c r="C16" s="188"/>
      <x:c r="D16" s="188"/>
      <x:c r="E16" s="188"/>
      <x:c r="F16" s="188"/>
    </x:row>
    <x:row r="17" ht="24" customHeight="1">
      <x:c r="A17" s="218" t="str">
        <x:v>主要风险与缓解</x:v>
      </x:c>
      <x:c r="B17" s="218"/>
      <x:c r="C17" s="218"/>
      <x:c r="D17" s="218"/>
      <x:c r="E17" s="218"/>
      <x:c r="F17" s="218"/>
    </x:row>
    <x:row r="18">
      <x:c r="A18" s="217" t="str">
        <x:v>风险</x:v>
      </x:c>
      <x:c r="B18" s="217" t="str">
        <x:v>概率</x:v>
      </x:c>
      <x:c r="C18" s="217" t="str">
        <x:v>影响</x:v>
      </x:c>
      <x:c r="D18" s="217" t="str">
        <x:v>缓解措施</x:v>
      </x:c>
      <x:c r="E18" s="217" t="str">
        <x:v>触发条件</x:v>
      </x:c>
      <x:c r="F18" s="217" t="str">
        <x:v>使用缓冲</x:v>
      </x:c>
    </x:row>
    <x:row r="19">
      <x:c r="A19" s="171" t="str">
        <x:v>Docker 基线不健康</x:v>
      </x:c>
      <x:c r="B19" s="172" t="str">
        <x:v>高</x:v>
      </x:c>
      <x:c r="C19" s="172" t="str">
        <x:v>高</x:v>
      </x:c>
      <x:c r="D19" s="171" t="str">
        <x:v>D1-D2 优先修复网络、PostgreSQL 和后端容器</x:v>
      </x:c>
      <x:c r="E19" s="171" t="str">
        <x:v>任一核心服务无法健康启动</x:v>
      </x:c>
      <x:c r="F19" s="172" t="str">
        <x:v>是</x:v>
      </x:c>
    </x:row>
    <x:row r="20">
      <x:c r="A20" s="174" t="str">
        <x:v>多格式解析范围膨胀</x:v>
      </x:c>
      <x:c r="B20" s="175" t="str">
        <x:v>中</x:v>
      </x:c>
      <x:c r="C20" s="175" t="str">
        <x:v>高</x:v>
      </x:c>
      <x:c r="D20" s="174" t="str">
        <x:v>采用统一 DocumentIR；先保证六类格式，OCR 限定样本</x:v>
      </x:c>
      <x:c r="E20" s="174" t="str">
        <x:v>新增未计划格式或复杂版面</x:v>
      </x:c>
      <x:c r="F20" s="175" t="str">
        <x:v>否，先降范围</x:v>
      </x:c>
    </x:row>
    <x:row r="21">
      <x:c r="A21" s="174" t="str">
        <x:v>CUDA/PyTorch 不兼容</x:v>
      </x:c>
      <x:c r="B21" s="175" t="str">
        <x:v>高</x:v>
      </x:c>
      <x:c r="C21" s="175" t="str">
        <x:v>中</x:v>
      </x:c>
      <x:c r="D21" s="174" t="str">
        <x:v>训练前冻结兼容版本；先跑最小 CUDA smoke</x:v>
      </x:c>
      <x:c r="E21" s="174" t="str">
        <x:v>torch.cuda.is_available() 为 False</x:v>
      </x:c>
      <x:c r="F21" s="175" t="str">
        <x:v>是</x:v>
      </x:c>
    </x:row>
    <x:row r="22">
      <x:c r="A22" s="174" t="str">
        <x:v>SFT 导致通用能力退化</x:v>
      </x:c>
      <x:c r="B22" s="175" t="str">
        <x:v>中</x:v>
      </x:c>
      <x:c r="C22" s="175" t="str">
        <x:v>中</x:v>
      </x:c>
      <x:c r="D22" s="174" t="str">
        <x:v>固定 Base/SFT 对照；控制数据量和 Epoch</x:v>
      </x:c>
      <x:c r="E22" s="174" t="str">
        <x:v>BFCL 或企业独立集退化</x:v>
      </x:c>
      <x:c r="F22" s="175" t="str">
        <x:v>是</x:v>
      </x:c>
    </x:row>
    <x:row r="23">
      <x:c r="A23" s="174" t="str">
        <x:v>MCP/A2A 协议兼容变化</x:v>
      </x:c>
      <x:c r="B23" s="175" t="str">
        <x:v>中</x:v>
      </x:c>
      <x:c r="C23" s="175" t="str">
        <x:v>中</x:v>
      </x:c>
      <x:c r="D23" s="174" t="str">
        <x:v>协议适配层隔离；只实现一个 Server 和外部 Agent</x:v>
      </x:c>
      <x:c r="E23" s="174" t="str">
        <x:v>官方 SDK/API 变化</x:v>
      </x:c>
      <x:c r="F23" s="175" t="str">
        <x:v>是</x:v>
      </x:c>
    </x:row>
    <x:row r="24">
      <x:c r="A24" s="174" t="str">
        <x:v>安全策略被模型绕过</x:v>
      </x:c>
      <x:c r="B24" s="175" t="str">
        <x:v>低</x:v>
      </x:c>
      <x:c r="C24" s="175" t="str">
        <x:v>极高</x:v>
      </x:c>
      <x:c r="D24" s="174" t="str">
        <x:v>Policy 和执行器物理分层，模型无直接执行引用</x:v>
      </x:c>
      <x:c r="E24" s="174" t="str">
        <x:v>出现未审计工具路径</x:v>
      </x:c>
      <x:c r="F24" s="175" t="str">
        <x:v>不得降级</x:v>
      </x:c>
    </x:row>
    <x:row r="25">
      <x:c r="A25" s="177" t="str">
        <x:v>范围蔓延</x:v>
      </x:c>
      <x:c r="B25" s="178" t="str">
        <x:v>高</x:v>
      </x:c>
      <x:c r="C25" s="178" t="str">
        <x:v>高</x:v>
      </x:c>
      <x:c r="D25" s="177" t="str">
        <x:v>优先削减 A2A 深度和界面装饰，不削减安全评测</x:v>
      </x:c>
      <x:c r="E25" s="177" t="str">
        <x:v>新增功能影响关键路径</x:v>
      </x:c>
      <x:c r="F25" s="178" t="str">
        <x:v>否，先砍需求</x:v>
      </x:c>
    </x:row>
  </x:sheetData>
  <x:mergeCells>
    <x:mergeCell ref="A1:F1"/>
    <x:mergeCell ref="A2:F2"/>
    <x:mergeCell ref="A4:F4"/>
    <x:mergeCell ref="A14:C14"/>
    <x:mergeCell ref="A17:F17"/>
  </x:mergeCells>
  <x:conditionalFormatting sqref="B19:B25">
    <x:cfRule type="containsText" dxfId="6" priority="1" operator="containsText" text="高"/>
  </x:conditionalFormatting>
  <x:conditionalFormatting sqref="C19:C25">
    <x:cfRule type="containsText" dxfId="7" priority="2" operator="containsText" text="极高"/>
  </x:conditionalFormatting>
  <x:pageMargins left="0.7" right="0.7" top="0.75" bottom="0.75" header="0.3" footer="0.3"/>
</x:worksheet>
</file>